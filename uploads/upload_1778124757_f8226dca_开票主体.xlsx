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<sst xmlns="http://schemas.openxmlformats.org/spreadsheetml/2006/main" count="2332" uniqueCount="733">
  <si>
    <t>审批编号</t>
  </si>
  <si>
    <t>客户/项目名称</t>
  </si>
  <si>
    <t>交易合同类型</t>
  </si>
  <si>
    <t>内部类型分类</t>
  </si>
  <si>
    <t>全额部分开票类型</t>
  </si>
  <si>
    <t>不含税金额</t>
  </si>
  <si>
    <t>差额开票金额</t>
  </si>
  <si>
    <t>增值税金额</t>
  </si>
  <si>
    <t>开票总额</t>
  </si>
  <si>
    <t>派遣服务费</t>
  </si>
  <si>
    <t>代理服务费</t>
  </si>
  <si>
    <t>承揽服务费</t>
  </si>
  <si>
    <t>培训收入</t>
  </si>
  <si>
    <t>招聘服务费</t>
  </si>
  <si>
    <t>猎头服务费</t>
  </si>
  <si>
    <t>安心雇收入</t>
  </si>
  <si>
    <t>小时间承揽服务费</t>
  </si>
  <si>
    <t>内部往来开票</t>
  </si>
  <si>
    <t>代付工资</t>
  </si>
  <si>
    <t>代付个税</t>
  </si>
  <si>
    <t>代付社保</t>
  </si>
  <si>
    <t>代付公积金</t>
  </si>
  <si>
    <t>代付商保</t>
  </si>
  <si>
    <t>代付残保金</t>
  </si>
  <si>
    <t>代付税金</t>
  </si>
  <si>
    <t>代付经营费用</t>
  </si>
  <si>
    <t>代付其他</t>
  </si>
  <si>
    <t>代付其他政府补贴</t>
  </si>
  <si>
    <t>租赁转租</t>
  </si>
  <si>
    <t>总计</t>
  </si>
  <si>
    <t>总计检验</t>
  </si>
  <si>
    <t>申请与开票差异</t>
  </si>
  <si>
    <t>应交增值税</t>
  </si>
  <si>
    <t>应交城建税</t>
  </si>
  <si>
    <t>应交教育费附加</t>
  </si>
  <si>
    <t>应交地方教育费附加</t>
  </si>
  <si>
    <t>代付增值税</t>
  </si>
  <si>
    <t>代付附加税</t>
  </si>
  <si>
    <t>成本增值税</t>
  </si>
  <si>
    <t>成本城建税</t>
  </si>
  <si>
    <t>成本教育费附加</t>
  </si>
  <si>
    <t>成本地方教育费附加</t>
  </si>
  <si>
    <t>辅助列1</t>
  </si>
  <si>
    <t>辅助2</t>
  </si>
  <si>
    <t>202512010914000217639</t>
  </si>
  <si>
    <t>凯辉人才服务（上海）有限公司</t>
  </si>
  <si>
    <t>劳务派遣</t>
  </si>
  <si>
    <t>派遣业务</t>
  </si>
  <si>
    <t>专票（5%）</t>
  </si>
  <si>
    <t>202512010936000029991</t>
  </si>
  <si>
    <t>广东-新御运营管理（派遣）</t>
  </si>
  <si>
    <t>专票（6%）</t>
  </si>
  <si>
    <t>202512010952000277009</t>
  </si>
  <si>
    <t>中国中金财富证券有限公司东莞分公司</t>
  </si>
  <si>
    <t>劳务承揽</t>
  </si>
  <si>
    <t>承揽业务</t>
  </si>
  <si>
    <t>202512011032000412415</t>
  </si>
  <si>
    <t>蚂蚁HRO</t>
  </si>
  <si>
    <t>202512011045000017836</t>
  </si>
  <si>
    <t>软通动力信息技术（集团）股份有限公司</t>
  </si>
  <si>
    <t>小时间承揽</t>
  </si>
  <si>
    <t>202512011144000382060</t>
  </si>
  <si>
    <t>202512011145000566762</t>
  </si>
  <si>
    <t>202512011203000030494</t>
  </si>
  <si>
    <t>深圳中外运物流有限公司</t>
  </si>
  <si>
    <t>电票（6%）</t>
  </si>
  <si>
    <t>202512011334000210352</t>
  </si>
  <si>
    <t>周老师(百果园)</t>
  </si>
  <si>
    <t>202512011519000128722</t>
  </si>
  <si>
    <t>深圳市万科物业服务有限公司东莞茶山分公司</t>
  </si>
  <si>
    <t>202512011524000290727</t>
  </si>
  <si>
    <t>东莞万江金鳌城市资源经营管理有限公司</t>
  </si>
  <si>
    <t>202512011528000448156</t>
  </si>
  <si>
    <t>202512011754000073051</t>
  </si>
  <si>
    <t>广州市南海中学</t>
  </si>
  <si>
    <t>202512020912000234377</t>
  </si>
  <si>
    <t>广州市第一中学</t>
  </si>
  <si>
    <t>普票（5%）</t>
  </si>
  <si>
    <t>202512020914000230838</t>
  </si>
  <si>
    <t>202512020916000393523</t>
  </si>
  <si>
    <t>202512020921000119648</t>
  </si>
  <si>
    <t>202512020927000032377</t>
  </si>
  <si>
    <t>202512021410000083517</t>
  </si>
  <si>
    <t>202512021519000271014</t>
  </si>
  <si>
    <t>202512021609000063803</t>
  </si>
  <si>
    <t>202512021611000107980</t>
  </si>
  <si>
    <t>202512021613000555164</t>
  </si>
  <si>
    <t>202512021636000598013</t>
  </si>
  <si>
    <t>202512021639000011329</t>
  </si>
  <si>
    <t>202512021650000521680</t>
  </si>
  <si>
    <t>202512021653000468302</t>
  </si>
  <si>
    <t>202512021654000236881</t>
  </si>
  <si>
    <t>202512021655000124061</t>
  </si>
  <si>
    <t>北京京东世纪贸易有限公司</t>
  </si>
  <si>
    <t>猎头服务</t>
  </si>
  <si>
    <t>猎头业务</t>
  </si>
  <si>
    <t>202512021655000562923</t>
  </si>
  <si>
    <t>202512021749000195269</t>
  </si>
  <si>
    <t>广州白云山敬修堂药业股份有限公司</t>
  </si>
  <si>
    <t>202512031007000000620</t>
  </si>
  <si>
    <t>畅捷通信息技术股份有限公司</t>
  </si>
  <si>
    <t>202512031207000266938</t>
  </si>
  <si>
    <t>辉山乳业（沈阳）销售有限公司</t>
  </si>
  <si>
    <t>202512031357000592545</t>
  </si>
  <si>
    <t>202512031410000212031</t>
  </si>
  <si>
    <t>202512031411000228772</t>
  </si>
  <si>
    <t>202512031527000358276</t>
  </si>
  <si>
    <t>202512031546000048920</t>
  </si>
  <si>
    <t>广汽传祺汽车销售有限公司</t>
  </si>
  <si>
    <t>普票（6%）</t>
  </si>
  <si>
    <t>202512031618000265075</t>
  </si>
  <si>
    <t>优湃能源科技（广州）有限公司</t>
  </si>
  <si>
    <t>202512031746000005828</t>
  </si>
  <si>
    <t>广电计量</t>
  </si>
  <si>
    <t>202512032027000073341</t>
  </si>
  <si>
    <t>广东-富凌食品（BPO）</t>
  </si>
  <si>
    <t>202512032033000569623</t>
  </si>
  <si>
    <t>广东-智慧城市（劳务外包）</t>
  </si>
  <si>
    <t>202512041106000591442</t>
  </si>
  <si>
    <t>黑龙江九州通医药有限公司</t>
  </si>
  <si>
    <t>人力资源外包（代理）</t>
  </si>
  <si>
    <t>代理业务</t>
  </si>
  <si>
    <t>202512041108000555761</t>
  </si>
  <si>
    <t>华润电力（广东）能源服务有限公司</t>
  </si>
  <si>
    <t>202512041109000269378</t>
  </si>
  <si>
    <t>美的集团（上海）有限公司</t>
  </si>
  <si>
    <t>202512041150000191842</t>
  </si>
  <si>
    <t>上海移远通信技术股份有限公司</t>
  </si>
  <si>
    <t>202512041449000118757</t>
  </si>
  <si>
    <t>广药黑龙江医药有限公司</t>
  </si>
  <si>
    <t>202512041457000012958</t>
  </si>
  <si>
    <t>平云小匠</t>
  </si>
  <si>
    <t>技术服务</t>
  </si>
  <si>
    <t>202512041458000435054</t>
  </si>
  <si>
    <t>202512041505000295118</t>
  </si>
  <si>
    <t>202512041506000079112</t>
  </si>
  <si>
    <t>202512041506000359072</t>
  </si>
  <si>
    <t>202512041507000523293</t>
  </si>
  <si>
    <t>202512041519000546618</t>
  </si>
  <si>
    <t>施启乐（广州）仪器有限公司</t>
  </si>
  <si>
    <t>202512041540000452960</t>
  </si>
  <si>
    <t>202512041556000507999</t>
  </si>
  <si>
    <t>重庆壹零柒陆益安药房连锁有限责任公司</t>
  </si>
  <si>
    <t>202512041626000319451</t>
  </si>
  <si>
    <t>广州水投城服保安服务有限公司</t>
  </si>
  <si>
    <t>202512041638000199182</t>
  </si>
  <si>
    <t>广东-禹洲星城（半承揽）</t>
  </si>
  <si>
    <t>202512041649000480465</t>
  </si>
  <si>
    <t>湖南-湖南珠啤(湖南公司)</t>
  </si>
  <si>
    <t>202512041655000002620</t>
  </si>
  <si>
    <t>202512041718000052225</t>
  </si>
  <si>
    <t>希音-试衣模特</t>
  </si>
  <si>
    <t>202512041924000389047</t>
  </si>
  <si>
    <t>杭州诚云科技有限公司</t>
  </si>
  <si>
    <t>202512051004000014210</t>
  </si>
  <si>
    <t>202512051207000131422</t>
  </si>
  <si>
    <t>202512051341000185756</t>
  </si>
  <si>
    <t>广东-北明数科（派遣：行政司机）</t>
  </si>
  <si>
    <t>202512051343000577561</t>
  </si>
  <si>
    <t>广东-王老吉(广东公司)</t>
  </si>
  <si>
    <t>202512051345000256626</t>
  </si>
  <si>
    <t>广东-天心制药(广东公司)</t>
  </si>
  <si>
    <t>202512051429000356828</t>
  </si>
  <si>
    <t>202512051434000156643</t>
  </si>
  <si>
    <t>202512051434000235037</t>
  </si>
  <si>
    <t>202512051436000061048</t>
  </si>
  <si>
    <t>202512051520000077707</t>
  </si>
  <si>
    <t>广东-河北珠啤(广东公司)</t>
  </si>
  <si>
    <t>202512051528000021505</t>
  </si>
  <si>
    <t>广州越秀生鲜食品有限公司</t>
  </si>
  <si>
    <t>202512051533000152147</t>
  </si>
  <si>
    <t>广州汽车集团股份有限公司</t>
  </si>
  <si>
    <t>202512051546000108257</t>
  </si>
  <si>
    <t>广东-国际香料(广东公司)</t>
  </si>
  <si>
    <t>202512051638000450827</t>
  </si>
  <si>
    <t>河北珠江啤酒有限公司-促销</t>
  </si>
  <si>
    <t>202512051705000129633</t>
  </si>
  <si>
    <t>蚂蚁金服-直管</t>
  </si>
  <si>
    <t>202512062035000130046</t>
  </si>
  <si>
    <t>广州王老吉药业股份有限公司-促销</t>
  </si>
  <si>
    <t>202512080958000512038</t>
  </si>
  <si>
    <t>广东-金鹰国际货代(广东公司)</t>
  </si>
  <si>
    <t>202512081004000336880</t>
  </si>
  <si>
    <t>广东公司-华南植物园（派遣）</t>
  </si>
  <si>
    <t>电票（5%）</t>
  </si>
  <si>
    <t>202512081040000217346</t>
  </si>
  <si>
    <t>北京图治云安科技有限公司</t>
  </si>
  <si>
    <t>202512081154000013734</t>
  </si>
  <si>
    <t>202512081215000092361</t>
  </si>
  <si>
    <t>广东-致美斋（劳务承揽）</t>
  </si>
  <si>
    <t>202512081253000131670</t>
  </si>
  <si>
    <t>202512081255000016499</t>
  </si>
  <si>
    <t>202512081258000066546</t>
  </si>
  <si>
    <t>202512081258000548378</t>
  </si>
  <si>
    <t>202512081324000225196</t>
  </si>
  <si>
    <t>广州华德汽车弹簧有限公司</t>
  </si>
  <si>
    <t>202512081331000231105</t>
  </si>
  <si>
    <t>珠海龙源金科铝业有限公司</t>
  </si>
  <si>
    <t>202512081346000361440</t>
  </si>
  <si>
    <t>202512081404000149666</t>
  </si>
  <si>
    <t>深圳万物商企物业服务有限公司贵阳分公司-首钢</t>
  </si>
  <si>
    <t>202512081407000571281</t>
  </si>
  <si>
    <t>深圳万物商企物业服务有限公司贵阳分公司</t>
  </si>
  <si>
    <t>202512081442000167995</t>
  </si>
  <si>
    <t>江西南商文旅产业发展有限公司</t>
  </si>
  <si>
    <t>202512081503000107781</t>
  </si>
  <si>
    <t>202512081504000504868</t>
  </si>
  <si>
    <t>上海园林格兰云天大酒店有限公司</t>
  </si>
  <si>
    <t>202512081635000576506</t>
  </si>
  <si>
    <t>202512090906000485493</t>
  </si>
  <si>
    <t>范沃森（上海）自动化测试设备有限公司</t>
  </si>
  <si>
    <t>202512090927000176116</t>
  </si>
  <si>
    <t>广州花都车城建设投资开发有限公司</t>
  </si>
  <si>
    <t>202512091019000351050</t>
  </si>
  <si>
    <t>【天虹超市-华南三区 】</t>
  </si>
  <si>
    <t>202512091411000372035</t>
  </si>
  <si>
    <t>追觅智能科技（绍兴）有限公司</t>
  </si>
  <si>
    <t>202512091416000441359</t>
  </si>
  <si>
    <t>202512091458000352001</t>
  </si>
  <si>
    <t>上海南锐化工科技有限公司</t>
  </si>
  <si>
    <t>202512100936000034202</t>
  </si>
  <si>
    <t>杭州金沐珠宝科技有限公司</t>
  </si>
  <si>
    <t>202512091635000115968</t>
  </si>
  <si>
    <t>广州希音供应链管理有限公司</t>
  </si>
  <si>
    <t>202512091657000426817</t>
  </si>
  <si>
    <t>米亚智水环保科技（苏州）有限公司</t>
  </si>
  <si>
    <t>202512091657000458293</t>
  </si>
  <si>
    <t>广东-上海斯必克(广东公司)</t>
  </si>
  <si>
    <t>202512091658000206088</t>
  </si>
  <si>
    <t>202512091700000341681</t>
  </si>
  <si>
    <t>米亚智水贸易（苏州）有限公司</t>
  </si>
  <si>
    <t>202512091830000181046</t>
  </si>
  <si>
    <t>202512092041000468874</t>
  </si>
  <si>
    <t>202512100912000343420</t>
  </si>
  <si>
    <t>贵阳松果网络科技有限公司</t>
  </si>
  <si>
    <t>202512100914000358917</t>
  </si>
  <si>
    <t>深圳卓永电动科技有限公司</t>
  </si>
  <si>
    <t>202512101056000224477</t>
  </si>
  <si>
    <t>东莞市天虹商场有限公司</t>
  </si>
  <si>
    <t>202512101056000329624</t>
  </si>
  <si>
    <t>广州正研汽车服务有限公司</t>
  </si>
  <si>
    <t>202512101104000430040</t>
  </si>
  <si>
    <t>深圳市蓝鲸智慧仓储服务有限公司</t>
  </si>
  <si>
    <t>202512101122000215496</t>
  </si>
  <si>
    <t>202512101346000339652</t>
  </si>
  <si>
    <t>北京中瑞方兴科技有限公司</t>
  </si>
  <si>
    <t>202512101415000202770</t>
  </si>
  <si>
    <t>广东双奇信息技术有限公司</t>
  </si>
  <si>
    <t>202512101520000068179</t>
  </si>
  <si>
    <t>枇杷(上海寻梦信息技术有限公司)</t>
  </si>
  <si>
    <t>202512101527000472055</t>
  </si>
  <si>
    <t>晚樱(上海禹璨信息技术有限公司)</t>
  </si>
  <si>
    <t>202512101542000268010</t>
  </si>
  <si>
    <t>于金(海城中盈城市环境卫生管理有限公司)</t>
  </si>
  <si>
    <t>202512101632000336281</t>
  </si>
  <si>
    <t>202512101656000323655</t>
  </si>
  <si>
    <t>202512101756000575648</t>
  </si>
  <si>
    <t>广州水投城市服务有限公司</t>
  </si>
  <si>
    <t>202512101806000408606</t>
  </si>
  <si>
    <t>AZAZIE HONG KONG LIMITED</t>
  </si>
  <si>
    <t>其他人力资源服务</t>
  </si>
  <si>
    <t>202512102319000270323</t>
  </si>
  <si>
    <t>北京九州云腾科技有限公司</t>
  </si>
  <si>
    <t>202512102329000567909</t>
  </si>
  <si>
    <t>202512111121000533537</t>
  </si>
  <si>
    <t>深圳市前海公共安全科学研究院有限公司</t>
  </si>
  <si>
    <t>202512111405000561636</t>
  </si>
  <si>
    <t>刘广财(青海泰丰先行锂能科技有限公司)</t>
  </si>
  <si>
    <t>无全额</t>
  </si>
  <si>
    <t>202512111635000160076</t>
  </si>
  <si>
    <t>广东时-智慧城市（小时间）</t>
  </si>
  <si>
    <t>202512111643000460691</t>
  </si>
  <si>
    <t>202512111652000587110</t>
  </si>
  <si>
    <t>202512120934000310055</t>
  </si>
  <si>
    <t>202512121030000288552</t>
  </si>
  <si>
    <t>方大特钢科技股份有限公司</t>
  </si>
  <si>
    <t>202512121247000364287</t>
  </si>
  <si>
    <t>广东-浙江丹鸟（三大区）</t>
  </si>
  <si>
    <t>202512121248000408743</t>
  </si>
  <si>
    <t>202512121353000139972</t>
  </si>
  <si>
    <t>202512121411000530566</t>
  </si>
  <si>
    <t>202512121415000013268</t>
  </si>
  <si>
    <t>202512121417000538883</t>
  </si>
  <si>
    <t>202512121423000163463</t>
  </si>
  <si>
    <t>广东-上海电站辅机厂有限公司（裕龙）</t>
  </si>
  <si>
    <t>202512121423000291717</t>
  </si>
  <si>
    <t>202512121424000408115</t>
  </si>
  <si>
    <t>广东- 上海电气集团股份有限公司(广东公司)</t>
  </si>
  <si>
    <t>202512121443000017015</t>
  </si>
  <si>
    <t>澄江隐心酒店管理有限公司</t>
  </si>
  <si>
    <t>202512121619000172710</t>
  </si>
  <si>
    <t>因湃电池科技有限公司-社会工小时工</t>
  </si>
  <si>
    <t>202512121628000152102</t>
  </si>
  <si>
    <t>万净广清莞佛中珠</t>
  </si>
  <si>
    <t>202512121632000053587</t>
  </si>
  <si>
    <t>因湃电池科技有限公司-劳务派遣服务</t>
  </si>
  <si>
    <t>202512121654000163545</t>
  </si>
  <si>
    <t>苏跃科技股份有限公司</t>
  </si>
  <si>
    <t>202512121712000269336</t>
  </si>
  <si>
    <t>广州广汽商贸物流有限公司</t>
  </si>
  <si>
    <t>202512121719000240023</t>
  </si>
  <si>
    <t>202512121720000412017</t>
  </si>
  <si>
    <t>202512121739000248117</t>
  </si>
  <si>
    <t>新一佳（深圳）连锁商业有限公司</t>
  </si>
  <si>
    <t>202512121740000232540</t>
  </si>
  <si>
    <t>佳能量（深圳）连锁商业有限公司</t>
  </si>
  <si>
    <t>202512121832000366683</t>
  </si>
  <si>
    <t>广州华智汽车部件有限公司</t>
  </si>
  <si>
    <t>202512121835000135231</t>
  </si>
  <si>
    <t>202512121857000332930</t>
  </si>
  <si>
    <t>202512141813000589273</t>
  </si>
  <si>
    <t>广东-厨邦（阳江）(广东公司)</t>
  </si>
  <si>
    <t>202512141814000488242</t>
  </si>
  <si>
    <t>202512141815000392478</t>
  </si>
  <si>
    <t>202512141816000286605</t>
  </si>
  <si>
    <t>202512141817000148846</t>
  </si>
  <si>
    <t>202512141818000052694</t>
  </si>
  <si>
    <t>广东—阳西美味鲜食品有限公司</t>
  </si>
  <si>
    <t>202512141818000473537</t>
  </si>
  <si>
    <t>202512150221000164028</t>
  </si>
  <si>
    <t>202512150912000327552</t>
  </si>
  <si>
    <t>202512150914000159931</t>
  </si>
  <si>
    <t>广州水投供应链管理有限公司</t>
  </si>
  <si>
    <t>202512150958000358986</t>
  </si>
  <si>
    <t>202512151002000510886</t>
  </si>
  <si>
    <t>202512151003000526286</t>
  </si>
  <si>
    <t>零跑汽车有限公司</t>
  </si>
  <si>
    <t>202512151007000229232</t>
  </si>
  <si>
    <t>北京快松果科技有限公司</t>
  </si>
  <si>
    <t>202512151007000563070</t>
  </si>
  <si>
    <t>合肥松果智造智能科技有限公司</t>
  </si>
  <si>
    <t>202512151009000232370</t>
  </si>
  <si>
    <t>202512151009000557643</t>
  </si>
  <si>
    <t>202512151010000318692</t>
  </si>
  <si>
    <t>202512151011000372454</t>
  </si>
  <si>
    <t>金华零跑汽车内外饰系统有限公司</t>
  </si>
  <si>
    <t>202512151013000599833</t>
  </si>
  <si>
    <t>202512151015000017325</t>
  </si>
  <si>
    <t>202512151015000598141</t>
  </si>
  <si>
    <t>202512151102000063377</t>
  </si>
  <si>
    <t>亚朵</t>
  </si>
  <si>
    <t>202512151128000055578</t>
  </si>
  <si>
    <t>202512151217000097985</t>
  </si>
  <si>
    <t>202512151341000289784</t>
  </si>
  <si>
    <t>梅州平远县新粤华商店</t>
  </si>
  <si>
    <t>202512151350000059238</t>
  </si>
  <si>
    <t>202512151351000270330</t>
  </si>
  <si>
    <t>202512151359000401682</t>
  </si>
  <si>
    <t>202512151405000021056</t>
  </si>
  <si>
    <t>202512151414000420421</t>
  </si>
  <si>
    <t>贵州漫西谷酒店管理有限公司</t>
  </si>
  <si>
    <t>202512151433000561023</t>
  </si>
  <si>
    <t>贵州途乐嘉酒店管理有限公司</t>
  </si>
  <si>
    <t>202512151521000103263</t>
  </si>
  <si>
    <t>广州白云山敬修堂药业股份有限公司（派遣）</t>
  </si>
  <si>
    <t>202512151522000402482</t>
  </si>
  <si>
    <t>202512151613000152322</t>
  </si>
  <si>
    <t>202512151623000190910</t>
  </si>
  <si>
    <t>202512151624000091946</t>
  </si>
  <si>
    <t>202512151639000099653</t>
  </si>
  <si>
    <t>202512151719000512166</t>
  </si>
  <si>
    <t>招商局物流深圳有限公司</t>
  </si>
  <si>
    <t>202512151722000103939</t>
  </si>
  <si>
    <t>202512151930000327255</t>
  </si>
  <si>
    <t>202512151930000434425</t>
  </si>
  <si>
    <t>广东-东莞市万科酒店管理有限公司</t>
  </si>
  <si>
    <t>202512151932000038870</t>
  </si>
  <si>
    <t>202512161043000008328</t>
  </si>
  <si>
    <t>202512161109000542210</t>
  </si>
  <si>
    <t>202512161241000488781</t>
  </si>
  <si>
    <t>疆南食驿(杭州疆南食驿餐饮管理有限公司)</t>
  </si>
  <si>
    <t>管理咨询服务</t>
  </si>
  <si>
    <t>202512161348000117877</t>
  </si>
  <si>
    <t>深圳市小泊科技有限公司</t>
  </si>
  <si>
    <t>202512161351000061263</t>
  </si>
  <si>
    <t>202512161352000002857</t>
  </si>
  <si>
    <t>202512161408000411726</t>
  </si>
  <si>
    <t>广东-优力检测（外包）(广东公司)</t>
  </si>
  <si>
    <t>202512161411000145485</t>
  </si>
  <si>
    <t>202512161419000251708</t>
  </si>
  <si>
    <t>广东-中山厨邦（BPO）</t>
  </si>
  <si>
    <t>202512161424000446351</t>
  </si>
  <si>
    <t>广东-佛塑(广东公司)</t>
  </si>
  <si>
    <t>202512161426000185483</t>
  </si>
  <si>
    <t>202512161427000243522</t>
  </si>
  <si>
    <t>202512161633000091470</t>
  </si>
  <si>
    <t>202512161654000530997</t>
  </si>
  <si>
    <t>202512170935000416056</t>
  </si>
  <si>
    <t>202512171106000002257</t>
  </si>
  <si>
    <t>广东-陈李济(广东公司)</t>
  </si>
  <si>
    <t>202512171352000437182</t>
  </si>
  <si>
    <t>广州工控万宝压缩机有限公司</t>
  </si>
  <si>
    <t>202512171353000057082</t>
  </si>
  <si>
    <t>202512171354000462129</t>
  </si>
  <si>
    <t>202512171358000106915</t>
  </si>
  <si>
    <t>武汉必凯尔救助用品有限公司</t>
  </si>
  <si>
    <t>202512191741000231618</t>
  </si>
  <si>
    <t>202512171538000223533</t>
  </si>
  <si>
    <t>广东-省研究所（承包）(广东公司)</t>
  </si>
  <si>
    <t>202512171541000275584</t>
  </si>
  <si>
    <t>202512171549000023712</t>
  </si>
  <si>
    <t>广东-华侨物业（物业）(广东公司)</t>
  </si>
  <si>
    <t>202512171550000361245</t>
  </si>
  <si>
    <t>202512171607000040197</t>
  </si>
  <si>
    <t>广东-华侨物业（省博）(广东公司)</t>
  </si>
  <si>
    <t>202512171628000539458</t>
  </si>
  <si>
    <t>202512171631000148037</t>
  </si>
  <si>
    <t>202512171729000126067</t>
  </si>
  <si>
    <t>202512180922000167677</t>
  </si>
  <si>
    <t>广东-广汽日野（BPO）</t>
  </si>
  <si>
    <t>202512180926000426499</t>
  </si>
  <si>
    <t>广东逅厨食品有限公司</t>
  </si>
  <si>
    <t>202512180947000060289</t>
  </si>
  <si>
    <t>果叔供应链(广东)有限公司</t>
  </si>
  <si>
    <t>202512181007000027140</t>
  </si>
  <si>
    <t>无锡芯格诺微电子有限公司</t>
  </si>
  <si>
    <t>202512181339000003228</t>
  </si>
  <si>
    <t>深圳华悦智能技术有限公司</t>
  </si>
  <si>
    <t>202512181340000158950</t>
  </si>
  <si>
    <t>人力资源服务（一般征收）</t>
  </si>
  <si>
    <t>202512181341000522147</t>
  </si>
  <si>
    <t>202512181350000582273</t>
  </si>
  <si>
    <t>202512181356000060298</t>
  </si>
  <si>
    <t>广东智杏科技有限公司</t>
  </si>
  <si>
    <t>202512181612000361464</t>
  </si>
  <si>
    <t>中铁城市运营管理有限公司</t>
  </si>
  <si>
    <t>202512181621000513716</t>
  </si>
  <si>
    <t>202512181633000314046</t>
  </si>
  <si>
    <t>202512181643000520114</t>
  </si>
  <si>
    <t>202512181651000302089</t>
  </si>
  <si>
    <t>浩弛汽车电子系统（长春）有限公司</t>
  </si>
  <si>
    <t>202512182031000268314</t>
  </si>
  <si>
    <t>广东-白云山制药总厂（派遣）</t>
  </si>
  <si>
    <t>202512190929000242621</t>
  </si>
  <si>
    <t>昆明昆船智慧机场技术有限公司</t>
  </si>
  <si>
    <t>202512191049000439819</t>
  </si>
  <si>
    <t>上海蜂鸟必赢信息技术有限公司</t>
  </si>
  <si>
    <t>物流辅助服务</t>
  </si>
  <si>
    <t>202512191305000270815</t>
  </si>
  <si>
    <t>广东-湛江珠啤(广东公司)</t>
  </si>
  <si>
    <t>202512191345000250458</t>
  </si>
  <si>
    <t>广州朗文光电有限公司</t>
  </si>
  <si>
    <t>202512191348000184149</t>
  </si>
  <si>
    <t>202512191456000383615</t>
  </si>
  <si>
    <t>长春一汽汽车商贸服务有限公司佛山分公司</t>
  </si>
  <si>
    <t>202512191522000456729</t>
  </si>
  <si>
    <t>202512191526000028764</t>
  </si>
  <si>
    <t>河北珠江啤酒有限公司-营销</t>
  </si>
  <si>
    <t>202512191635000090268</t>
  </si>
  <si>
    <t>202512191646000354236</t>
  </si>
  <si>
    <t>广西珠江啤酒有限公司</t>
  </si>
  <si>
    <t>202512191734000555641</t>
  </si>
  <si>
    <t xml:space="preserve"> 博世汽车部件（长春）有限公司</t>
  </si>
  <si>
    <t>202512191735000285118</t>
  </si>
  <si>
    <t>202512191906000045789</t>
  </si>
  <si>
    <t>202512201712000272220</t>
  </si>
  <si>
    <t>广东-锐毅卓恒电力（劳务外包）</t>
  </si>
  <si>
    <t>202512220922000299912</t>
  </si>
  <si>
    <t>202512220951000525820</t>
  </si>
  <si>
    <t>蚂蚁金服-地网</t>
  </si>
  <si>
    <t>202512220959000255973</t>
  </si>
  <si>
    <t>202512221132000054375</t>
  </si>
  <si>
    <t>广州检验检测认证集团有限公司</t>
  </si>
  <si>
    <t>202512221132000552841</t>
  </si>
  <si>
    <t>广东-中保华安（派遣）</t>
  </si>
  <si>
    <t>202512221139000269074</t>
  </si>
  <si>
    <t>广东海诚保安服务有限公司</t>
  </si>
  <si>
    <t>202512221140000212655</t>
  </si>
  <si>
    <t>202512221343000100668</t>
  </si>
  <si>
    <t>202512221355000421706</t>
  </si>
  <si>
    <t>湖南景途供应链有限公司</t>
  </si>
  <si>
    <t>202512221356000065174</t>
  </si>
  <si>
    <t>广州市粤平物业管理有限公司</t>
  </si>
  <si>
    <t>202512221356000498935</t>
  </si>
  <si>
    <t>202512221410000231549</t>
  </si>
  <si>
    <t>202512221411000567159</t>
  </si>
  <si>
    <t>广东-广东建工恒福(广东公司)</t>
  </si>
  <si>
    <t>202512221412000451616</t>
  </si>
  <si>
    <t>广州白云山星群（药业）股份有限公司-装卸搬运</t>
  </si>
  <si>
    <t>202512221415000451905</t>
  </si>
  <si>
    <t>广东-虎门港(广东公司)</t>
  </si>
  <si>
    <t>202512221419000189484</t>
  </si>
  <si>
    <t>202512221448000055516</t>
  </si>
  <si>
    <t>202512221524000022351</t>
  </si>
  <si>
    <t>202512221529000015937</t>
  </si>
  <si>
    <t>202512221609000358247</t>
  </si>
  <si>
    <t>广州市风卓诚衣服饰有限公司（派遣-广东）</t>
  </si>
  <si>
    <t>202512221613000071792</t>
  </si>
  <si>
    <t>泉州市歌家诚品新零售有限公司（派遣-广东）</t>
  </si>
  <si>
    <t>202512221616000206331</t>
  </si>
  <si>
    <t>深圳市褶裳羽衣服饰有限公司（派遣-广东）</t>
  </si>
  <si>
    <t>202512221619000176262</t>
  </si>
  <si>
    <t>广州市格风服饰有限公司（外包-广东）</t>
  </si>
  <si>
    <t>202512221627000464967</t>
  </si>
  <si>
    <t>202512221627000496215</t>
  </si>
  <si>
    <t>成都市朗信泽泰科技有限公司（半承揽-广东）</t>
  </si>
  <si>
    <t>202512221630000327860</t>
  </si>
  <si>
    <t>海南卓联诚品新零售有限公司（外包-广东）</t>
  </si>
  <si>
    <t>202512221632000519937</t>
  </si>
  <si>
    <t>嘉盈兴业(天津)纺织科技有限公司（外包-广东）</t>
  </si>
  <si>
    <t>202512221635000214068</t>
  </si>
  <si>
    <t>南京诚品阁服饰有限公司（半承揽-广东）</t>
  </si>
  <si>
    <t>202512221636000390559</t>
  </si>
  <si>
    <t>广州区域联网收费业主管理委员会</t>
  </si>
  <si>
    <t>202512221637000113472</t>
  </si>
  <si>
    <t>202512221637000406537</t>
  </si>
  <si>
    <t>泉州市歌家诚品新零售有限公司（外包-广东）</t>
  </si>
  <si>
    <t>202512221639000429433</t>
  </si>
  <si>
    <t>深圳市褶裳羽衣服饰有限公司（半承揽-广东）</t>
  </si>
  <si>
    <t>202512221639000447774</t>
  </si>
  <si>
    <t>202512221648000130370</t>
  </si>
  <si>
    <t>202512221650000111893</t>
  </si>
  <si>
    <t>202512240945000018291</t>
  </si>
  <si>
    <t>索迪斯（全国项目）</t>
  </si>
  <si>
    <t>202512221808000297137</t>
  </si>
  <si>
    <t>202512230907000310937</t>
  </si>
  <si>
    <t>广州市格风服饰有限公司（派遣-广东）</t>
  </si>
  <si>
    <t>202512230911000202997</t>
  </si>
  <si>
    <t>202512230922000460219</t>
  </si>
  <si>
    <t>202512230932000483273</t>
  </si>
  <si>
    <t>广东-广州市赛盈企业管理有限责任公司(广东公司)</t>
  </si>
  <si>
    <t>202512230938000184689</t>
  </si>
  <si>
    <t>202512230959000589996</t>
  </si>
  <si>
    <t>202512231019000519060</t>
  </si>
  <si>
    <t>铜陵乾盈企业服务有限公司</t>
  </si>
  <si>
    <t>202512231124000290212</t>
  </si>
  <si>
    <t>卓才-广东锐博</t>
  </si>
  <si>
    <t>信息技术服务</t>
  </si>
  <si>
    <t>202512231338000375270</t>
  </si>
  <si>
    <t>深圳莱同商贸有限公司南宁分公司-派遣</t>
  </si>
  <si>
    <t>202512231436000099384</t>
  </si>
  <si>
    <t>万净外包华东华北</t>
  </si>
  <si>
    <t>202512231440000043254</t>
  </si>
  <si>
    <t>202512231444000243531</t>
  </si>
  <si>
    <t>202512231448000032701</t>
  </si>
  <si>
    <t>202512231522000358937</t>
  </si>
  <si>
    <t>202512231600000421095</t>
  </si>
  <si>
    <t>202512232257000063543</t>
  </si>
  <si>
    <t>202512240029000198399</t>
  </si>
  <si>
    <t>202512240054000379016</t>
  </si>
  <si>
    <t>202512241007000248869</t>
  </si>
  <si>
    <t>202512241012000004027</t>
  </si>
  <si>
    <t>202512241033000500473</t>
  </si>
  <si>
    <t>202512241040000492325</t>
  </si>
  <si>
    <t>202512241609000541188</t>
  </si>
  <si>
    <t>广东公司-佛塑（派遣）</t>
  </si>
  <si>
    <t>202512241611000553628</t>
  </si>
  <si>
    <t>广东-阳西厨邦环卫项目（劳务承担）</t>
  </si>
  <si>
    <t>202512241628000061967</t>
  </si>
  <si>
    <t>202512241633000367465</t>
  </si>
  <si>
    <t>202512241634000104731</t>
  </si>
  <si>
    <t>202512241635000351022</t>
  </si>
  <si>
    <t>202512241637000165536</t>
  </si>
  <si>
    <t>202512241638000217428</t>
  </si>
  <si>
    <t>202512241642000101583</t>
  </si>
  <si>
    <t>202512241644000211570</t>
  </si>
  <si>
    <t>202512241645000319690</t>
  </si>
  <si>
    <t>202512241646000541066</t>
  </si>
  <si>
    <t>202512241656000311780</t>
  </si>
  <si>
    <t>202512241704000373137</t>
  </si>
  <si>
    <t>202512241715000244086</t>
  </si>
  <si>
    <t>202512241717000169428</t>
  </si>
  <si>
    <t>202512241720000152306</t>
  </si>
  <si>
    <t>202512241722000277573</t>
  </si>
  <si>
    <t>202512241723000490206</t>
  </si>
  <si>
    <t>202512241725000242103</t>
  </si>
  <si>
    <t>202512241727000511827</t>
  </si>
  <si>
    <t>202512241728000205043</t>
  </si>
  <si>
    <t>202512241729000282463</t>
  </si>
  <si>
    <t>202512241730000433529</t>
  </si>
  <si>
    <t>202512241731000540896</t>
  </si>
  <si>
    <t>202512241733000140380</t>
  </si>
  <si>
    <t>202512241734000470716</t>
  </si>
  <si>
    <t>202512241736000089140</t>
  </si>
  <si>
    <t>202512241737000249893</t>
  </si>
  <si>
    <t>202512251141000326780</t>
  </si>
  <si>
    <t>广州锐博汽车服务咨询有限公司</t>
  </si>
  <si>
    <t>202512251145000574717</t>
  </si>
  <si>
    <t>202512251148000521915</t>
  </si>
  <si>
    <t>202512251523000398568</t>
  </si>
  <si>
    <t>202512251552000310600</t>
  </si>
  <si>
    <t>广东公司--浙江佰通防腐设备有限公司</t>
  </si>
  <si>
    <t>202512251752000030161</t>
  </si>
  <si>
    <t>202512251843000193698</t>
  </si>
  <si>
    <t>202512261220000432954</t>
  </si>
  <si>
    <t>202512261222000013157</t>
  </si>
  <si>
    <t>202512261223000240994</t>
  </si>
  <si>
    <t>202512261446000017894</t>
  </si>
  <si>
    <t>广东-广州市八方锦程（代理业务）</t>
  </si>
  <si>
    <t>202512261448000143931</t>
  </si>
  <si>
    <t>广东-广州市八方锦程（派遣业务）</t>
  </si>
  <si>
    <t>202512261601000561914</t>
  </si>
  <si>
    <t>杭州银雁科技服务有限公司</t>
  </si>
  <si>
    <t>202512261758000266548</t>
  </si>
  <si>
    <t>202512261807000501846</t>
  </si>
  <si>
    <t>202512290945000298055</t>
  </si>
  <si>
    <t>山东轶骋真空科技有限公司</t>
  </si>
  <si>
    <t>202512291016000401809</t>
  </si>
  <si>
    <t>202512291019000002197</t>
  </si>
  <si>
    <t>202512291020000204861</t>
  </si>
  <si>
    <t>202512291025000276851</t>
  </si>
  <si>
    <t>202512291404000370907</t>
  </si>
  <si>
    <t>202512291533000382157</t>
  </si>
  <si>
    <t>202512291535000223643</t>
  </si>
  <si>
    <t>202512291535000231995</t>
  </si>
  <si>
    <t>202512291545000192210</t>
  </si>
  <si>
    <t>202512291602000166573</t>
  </si>
  <si>
    <t>202512291758000132248</t>
  </si>
  <si>
    <t>202512300926000349918</t>
  </si>
  <si>
    <t>202512300929000004088</t>
  </si>
  <si>
    <t>202512300937000326641</t>
  </si>
  <si>
    <t>卢小姐(香格里拉饭店管理（上海）有限公司广州分公司)</t>
  </si>
  <si>
    <t>202512300946000121675</t>
  </si>
  <si>
    <t>202512300946000347304</t>
  </si>
  <si>
    <t>杭州思康新医疗科技有限公司</t>
  </si>
  <si>
    <t>202512300950000585966</t>
  </si>
  <si>
    <t>湖南快乐通宝科技小额贷款有限公司</t>
  </si>
  <si>
    <t>202512300952000257342</t>
  </si>
  <si>
    <t>202512301014000150156</t>
  </si>
  <si>
    <t>广东—广东南方网络电视传媒有限公司</t>
  </si>
  <si>
    <t>202512301016000586685</t>
  </si>
  <si>
    <t>中航光电精密电子（广东）有限公司</t>
  </si>
  <si>
    <t>202512301020000572997</t>
  </si>
  <si>
    <t>202512301036000086917</t>
  </si>
  <si>
    <t>茂名卓著档案整理服务有限公司</t>
  </si>
  <si>
    <t>202512301040000128940</t>
  </si>
  <si>
    <t>中研智业集团股份有限公司</t>
  </si>
  <si>
    <t>202512301111000301430</t>
  </si>
  <si>
    <t>202512301116000121485</t>
  </si>
  <si>
    <t>南通哈路信息技术有限公司(刘伊琳)</t>
  </si>
  <si>
    <t>202512301119000440803</t>
  </si>
  <si>
    <t>协鑫港华能源科技（苏州）有限公司</t>
  </si>
  <si>
    <t>202512301122000378608</t>
  </si>
  <si>
    <t>202512301127000238472</t>
  </si>
  <si>
    <t>广东--江西德冠诚投资管理有限公司（派遣）</t>
  </si>
  <si>
    <t>202512301140000224673</t>
  </si>
  <si>
    <t>广东-上海克莱德（半承包）(广东公司)</t>
  </si>
  <si>
    <t>202512301144000390493</t>
  </si>
  <si>
    <t>海南衣脉相承创意服务有限公司</t>
  </si>
  <si>
    <t>202512301356000314802</t>
  </si>
  <si>
    <t>广东安和保安服务有限公司</t>
  </si>
  <si>
    <t>202512301605000314800</t>
  </si>
  <si>
    <t>康美时代（广东）发展有限公司</t>
  </si>
  <si>
    <t>202512301607000226898</t>
  </si>
  <si>
    <t>202512301609000484786</t>
  </si>
  <si>
    <t>202512301628000192633</t>
  </si>
  <si>
    <t>广东-劳务派遣-广州增城潮合奢品汇贸易商行（湾仔国际）</t>
  </si>
  <si>
    <t>202512301732000267119</t>
  </si>
  <si>
    <t>202512301854000190246</t>
  </si>
  <si>
    <t>202512301905000431874</t>
  </si>
  <si>
    <t>深圳市万科物业服务有限公司东莞分公司</t>
  </si>
  <si>
    <t>202512301909000258823</t>
  </si>
  <si>
    <t>202512301911000243770</t>
  </si>
  <si>
    <t>202512301913000487541</t>
  </si>
  <si>
    <t>202512310923000142285</t>
  </si>
  <si>
    <t>贝思健康产业(广州)有限公司</t>
  </si>
  <si>
    <t>202512310940000165824</t>
  </si>
  <si>
    <t>上海维佳私募基金管理有限公司</t>
  </si>
  <si>
    <t>202512311016000155160</t>
  </si>
  <si>
    <t>广上科技徐小姐</t>
  </si>
  <si>
    <t>202512311211000496411</t>
  </si>
  <si>
    <t>202512311447000411107</t>
  </si>
  <si>
    <t>202512311453000016862</t>
  </si>
  <si>
    <t>202512311500000147329</t>
  </si>
  <si>
    <t>202512311615000468650</t>
  </si>
  <si>
    <t>202512311803000241289</t>
  </si>
  <si>
    <t>希音-电工</t>
  </si>
  <si>
    <t>202512021519000271014-1</t>
  </si>
  <si>
    <t>202511281633000173184</t>
  </si>
  <si>
    <t>202511281636000077809</t>
  </si>
  <si>
    <t>202511281638000134438</t>
  </si>
  <si>
    <t>202511281639000237423</t>
  </si>
  <si>
    <t>202511281641000481459</t>
  </si>
  <si>
    <t>202511281643000029104</t>
  </si>
  <si>
    <t>202511281644000204785</t>
  </si>
  <si>
    <t>202511281645000319134</t>
  </si>
  <si>
    <t>202511281646000534129</t>
  </si>
  <si>
    <t>202511281648000018806</t>
  </si>
  <si>
    <t>202511281648000582425</t>
  </si>
  <si>
    <t>202511281703000400609</t>
  </si>
  <si>
    <t>202511281704000585051</t>
  </si>
  <si>
    <t>202511281706000008548</t>
  </si>
  <si>
    <t>202511281707000093213</t>
  </si>
  <si>
    <t>202506241527000580802</t>
  </si>
  <si>
    <t>河北珠江啤酒有限公司</t>
  </si>
  <si>
    <t>202507171634000223572</t>
  </si>
  <si>
    <t>广州白云山中一药业有限公司</t>
  </si>
  <si>
    <t>202508271031000450207</t>
  </si>
  <si>
    <t>广东锐博天成信息科技有限公司</t>
  </si>
  <si>
    <t>202510201433000148480</t>
  </si>
  <si>
    <t>202510311358000363228</t>
  </si>
  <si>
    <t>202511051133000576058</t>
  </si>
  <si>
    <t>广东锐博人力资源服务有限公司萍乡市分公司</t>
  </si>
  <si>
    <t>202511141423000344390</t>
  </si>
  <si>
    <t>202511201334000128183</t>
  </si>
  <si>
    <t>202511211018000583839</t>
  </si>
  <si>
    <t>广州湃索信息科技有限公司</t>
  </si>
  <si>
    <t>202511211022000404442</t>
  </si>
  <si>
    <t>赛维森(广州)医疗科技服务有限公司</t>
  </si>
  <si>
    <t>202511211513000210268</t>
  </si>
  <si>
    <t>202511271604000506062</t>
  </si>
  <si>
    <t>202511281348000480727</t>
  </si>
  <si>
    <t>202511291805000182841</t>
  </si>
  <si>
    <t>广上科技（广州）股份有限公司</t>
  </si>
  <si>
    <t>202512020941000156097</t>
  </si>
  <si>
    <t>安徽耀博外包服务有限公司</t>
  </si>
  <si>
    <t>202512021642000007326</t>
  </si>
  <si>
    <t>江西博衍数字科技有限公司</t>
  </si>
  <si>
    <t>202512031540000295587</t>
  </si>
  <si>
    <t>广州长林智能科技服务有限公司</t>
  </si>
  <si>
    <t>202512111413000447977</t>
  </si>
  <si>
    <t>202512141751000346281</t>
  </si>
  <si>
    <t>湖北池塘数字科技有限公司</t>
  </si>
  <si>
    <t>202512151747000440254</t>
  </si>
  <si>
    <t>202512181248000295642</t>
  </si>
  <si>
    <t>202512181259000117111</t>
  </si>
  <si>
    <t>湖北逐之鹿供应链管理有限公司</t>
  </si>
  <si>
    <t>202512191825000019578</t>
  </si>
  <si>
    <t>202512251715000341813</t>
  </si>
  <si>
    <t>广州国资智慧城市服务有限公司</t>
  </si>
  <si>
    <t>202512311846000008136</t>
  </si>
  <si>
    <t>广州市紫隆实业有限公司</t>
  </si>
  <si>
    <t>202512020912000234377-1</t>
  </si>
  <si>
    <t>开票</t>
  </si>
  <si>
    <t>借方</t>
  </si>
  <si>
    <t>应收账款</t>
  </si>
  <si>
    <t>贷方：</t>
  </si>
  <si>
    <t>收入-派遣</t>
  </si>
  <si>
    <t>增值税及附加-派遣</t>
  </si>
  <si>
    <t>收款</t>
  </si>
  <si>
    <t>银行存款</t>
  </si>
  <si>
    <t>付款</t>
  </si>
  <si>
    <t>代扣个人所得税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</si>
</sst>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333333"/>
      <name val="宋体"/>
      <charset val="134"/>
    </font>
    <font>
      <sz val="10"/>
      <color rgb="FF333333"/>
      <name val="微软雅黑"/>
      <charset val="134"/>
    </font>
    <font>
      <sz val="10"/>
      <name val="Calibri"/>
      <charset val="134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sz val="10"/>
      <color rgb="FF333333"/>
      <name val="Tahoma"/>
      <charset val="134"/>
    </font>
    <font>
      <i/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7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8" borderId="5">
      <alignment vertical="center"/>
    </xf>
    <xf numFmtId="0" fontId="21" fillId="9" borderId="6">
      <alignment vertical="center"/>
    </xf>
    <xf numFmtId="0" fontId="22" fillId="9" borderId="5">
      <alignment vertical="center"/>
    </xf>
    <xf numFmtId="0" fontId="23" fillId="10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5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49" fontId="1" fillId="4" borderId="0" xfId="0" applyNumberFormat="1" applyFont="1" applyFill="1" applyBorder="1" applyAlignment="1">
      <alignment horizontal="left" vertical="center"/>
    </xf>
    <xf numFmtId="176" fontId="1" fillId="4" borderId="0" xfId="0" applyNumberFormat="1" applyFont="1" applyFill="1" applyBorder="1" applyAlignment="1">
      <alignment horizontal="left" vertical="center"/>
    </xf>
    <xf numFmtId="176" fontId="1" fillId="3" borderId="0" xfId="0" applyNumberFormat="1" applyFont="1" applyFill="1" applyBorder="1" applyAlignment="1">
      <alignment horizontal="left" vertical="center"/>
    </xf>
    <xf numFmtId="176" fontId="2" fillId="3" borderId="0" xfId="0" applyNumberFormat="1" applyFont="1" applyFill="1" applyBorder="1" applyAlignment="1">
      <alignment horizontal="left" vertical="center"/>
    </xf>
    <xf numFmtId="176" fontId="3" fillId="2" borderId="0" xfId="0" applyNumberFormat="1" applyFont="1" applyFill="1" applyBorder="1" applyAlignment="1">
      <alignment horizontal="left" vertical="center"/>
    </xf>
    <xf numFmtId="176" fontId="3" fillId="3" borderId="0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76" fontId="1" fillId="2" borderId="0" xfId="0" applyNumberFormat="1" applyFont="1" applyFill="1" applyBorder="1" applyAlignment="1">
      <alignment horizontal="left" vertical="center"/>
    </xf>
    <xf numFmtId="176" fontId="2" fillId="2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  <xf numFmtId="176" fontId="1" fillId="5" borderId="0" xfId="0" applyNumberFormat="1" applyFont="1" applyFill="1" applyBorder="1" applyAlignment="1">
      <alignment horizontal="left" vertical="center"/>
    </xf>
    <xf numFmtId="176" fontId="2" fillId="5" borderId="0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5" fillId="0" borderId="0" xfId="0" applyNumberFormat="1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4" fontId="6" fillId="0" borderId="0" xfId="0" applyNumberFormat="1" applyFont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/>
    </xf>
    <xf numFmtId="0" fontId="1" fillId="0" borderId="0" xfId="0" applyNumberFormat="1" applyFont="1" applyBorder="1" applyAlignment="1">
      <alignment horizontal="left" vertical="center"/>
    </xf>
    <xf numFmtId="176" fontId="8" fillId="0" borderId="0" xfId="0" applyNumberFormat="1" applyFont="1" applyFill="1" applyBorder="1" applyAlignment="1">
      <alignment horizontal="left" vertical="center"/>
    </xf>
    <xf numFmtId="176" fontId="8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8" fillId="0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3" applyNumberFormat="1" applyFont="1" applyFill="1" applyBorder="1" applyAlignment="1" applyProtection="1">
      <alignment horizontal="left" vertical="center"/>
    </xf>
    <xf numFmtId="4" fontId="10" fillId="0" borderId="0" xfId="0" applyNumberFormat="1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176" fontId="11" fillId="0" borderId="0" xfId="0" applyNumberFormat="1" applyFont="1" applyFill="1" applyBorder="1" applyAlignment="1">
      <alignment horizontal="left" vertical="center"/>
    </xf>
    <xf numFmtId="176" fontId="5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49" fontId="7" fillId="0" borderId="0" xfId="0" applyNumberFormat="1" applyFont="1" applyFill="1" applyAlignment="1">
      <alignment horizontal="left"/>
    </xf>
    <xf numFmtId="0" fontId="9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4" fontId="6" fillId="0" borderId="0" xfId="0" applyNumberFormat="1" applyFont="1" applyFill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49" fontId="1" fillId="6" borderId="0" xfId="0" applyNumberFormat="1" applyFont="1" applyFill="1" applyBorder="1" applyAlignment="1">
      <alignment horizontal="left" vertical="center"/>
    </xf>
    <xf numFmtId="176" fontId="1" fillId="6" borderId="0" xfId="0" applyNumberFormat="1" applyFont="1" applyFill="1" applyBorder="1" applyAlignment="1">
      <alignment horizontal="left" vertical="center"/>
    </xf>
    <xf numFmtId="176" fontId="3" fillId="6" borderId="0" xfId="0" applyNumberFormat="1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176" fontId="2" fillId="6" borderId="0" xfId="0" applyNumberFormat="1" applyFont="1" applyFill="1" applyBorder="1" applyAlignment="1">
      <alignment horizontal="left" vertical="center"/>
    </xf>
    <xf numFmtId="176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12&#24191;&#19996;&#38160;&#21338;&#24320;&#31080;&#26126;&#32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税金分配"/>
      <sheetName val="Sheet2"/>
      <sheetName val="申请"/>
      <sheetName val="开票"/>
      <sheetName val="税盘明细"/>
      <sheetName val="Sheet1"/>
      <sheetName val="税盘明细-附钉钉号"/>
    </sheetNames>
    <sheetDataSet>
      <sheetData sheetId="0" refreshError="1"/>
      <sheetData sheetId="1" refreshError="1"/>
      <sheetData sheetId="2" refreshError="1">
        <row r="2">
          <cell r="AQ2" t="str">
            <v>TJ202512010914000217639</v>
          </cell>
        </row>
        <row r="3">
          <cell r="AQ3" t="str">
            <v>TJ202512010936000029991</v>
          </cell>
        </row>
        <row r="4">
          <cell r="AQ4" t="str">
            <v>TJ202512010952000277009</v>
          </cell>
        </row>
        <row r="5">
          <cell r="AQ5" t="str">
            <v>TJ202512011032000412415</v>
          </cell>
        </row>
        <row r="6">
          <cell r="AQ6" t="str">
            <v>TJ202512011045000017836</v>
          </cell>
        </row>
        <row r="7">
          <cell r="AQ7" t="str">
            <v>TJ202512011144000382060</v>
          </cell>
        </row>
        <row r="8">
          <cell r="AQ8" t="str">
            <v>TJ202512011145000566762</v>
          </cell>
        </row>
        <row r="9">
          <cell r="AQ9" t="str">
            <v>TJ202512011203000030494</v>
          </cell>
        </row>
        <row r="10">
          <cell r="AQ10" t="str">
            <v>TJ202512011334000210352</v>
          </cell>
        </row>
        <row r="11">
          <cell r="AQ11" t="str">
            <v>TJ202512011519000128722</v>
          </cell>
        </row>
        <row r="12">
          <cell r="AQ12" t="str">
            <v>TJ202512011524000290727</v>
          </cell>
        </row>
        <row r="13">
          <cell r="AQ13" t="str">
            <v>TJ202512011528000448156</v>
          </cell>
        </row>
        <row r="14">
          <cell r="AQ14" t="str">
            <v>TJ202512011754000073051</v>
          </cell>
        </row>
        <row r="15">
          <cell r="AQ15" t="str">
            <v>TJ202512020912000234377</v>
          </cell>
        </row>
        <row r="16">
          <cell r="AQ16" t="str">
            <v>TJ202512020914000230838</v>
          </cell>
        </row>
        <row r="17">
          <cell r="AQ17" t="str">
            <v>TJ202512020916000393523</v>
          </cell>
        </row>
        <row r="18">
          <cell r="AQ18" t="str">
            <v>TJ202512020921000119648</v>
          </cell>
        </row>
        <row r="19">
          <cell r="AQ19" t="str">
            <v>TJ202512020927000032377</v>
          </cell>
        </row>
        <row r="20">
          <cell r="AQ20" t="str">
            <v>TJ202512021410000083517</v>
          </cell>
        </row>
        <row r="21">
          <cell r="AQ21" t="str">
            <v>TJ202512021519000271014</v>
          </cell>
        </row>
        <row r="22">
          <cell r="AQ22" t="str">
            <v>TJ202512021609000063803</v>
          </cell>
        </row>
        <row r="23">
          <cell r="AQ23" t="str">
            <v>TJ202512021611000107980</v>
          </cell>
        </row>
        <row r="24">
          <cell r="AQ24" t="str">
            <v>TJ202512021613000555164</v>
          </cell>
        </row>
        <row r="25">
          <cell r="AQ25" t="str">
            <v>TJ202512021636000598013</v>
          </cell>
        </row>
        <row r="26">
          <cell r="AQ26" t="str">
            <v>TJ202512021639000011329</v>
          </cell>
        </row>
        <row r="27">
          <cell r="AQ27" t="str">
            <v>TJ202512021650000521680</v>
          </cell>
        </row>
        <row r="28">
          <cell r="AQ28" t="str">
            <v>TJ202512021653000468302</v>
          </cell>
        </row>
        <row r="29">
          <cell r="AQ29" t="str">
            <v>TJ202512021654000236881</v>
          </cell>
        </row>
        <row r="30">
          <cell r="AQ30" t="str">
            <v>TJ202512021655000124061</v>
          </cell>
        </row>
        <row r="31">
          <cell r="AQ31" t="str">
            <v>TJ202512021655000562923</v>
          </cell>
        </row>
        <row r="32">
          <cell r="AQ32" t="str">
            <v>TJ202512021749000195269</v>
          </cell>
        </row>
        <row r="33">
          <cell r="AQ33" t="str">
            <v>TJ202512031007000000620</v>
          </cell>
        </row>
        <row r="34">
          <cell r="AQ34" t="str">
            <v>TJ202512031207000266938</v>
          </cell>
        </row>
        <row r="35">
          <cell r="AQ35" t="str">
            <v>TJ202512031357000592545</v>
          </cell>
        </row>
        <row r="36">
          <cell r="AQ36" t="str">
            <v>TJ202512031410000212031</v>
          </cell>
        </row>
        <row r="37">
          <cell r="AQ37" t="str">
            <v>TJ202512031411000228772</v>
          </cell>
        </row>
        <row r="38">
          <cell r="AQ38" t="str">
            <v>TJ202512031527000358276</v>
          </cell>
        </row>
        <row r="39">
          <cell r="AQ39" t="str">
            <v>TJ202512031546000048920</v>
          </cell>
        </row>
        <row r="40">
          <cell r="AQ40" t="str">
            <v>TJ202512031618000265075</v>
          </cell>
        </row>
        <row r="41">
          <cell r="AQ41" t="str">
            <v>TJ202512031746000005828</v>
          </cell>
        </row>
        <row r="42">
          <cell r="AQ42" t="str">
            <v>TJ202512032027000073341</v>
          </cell>
        </row>
        <row r="43">
          <cell r="AQ43" t="str">
            <v>TJ202512032033000569623</v>
          </cell>
        </row>
        <row r="44">
          <cell r="AQ44" t="str">
            <v>TJ202512041106000591442</v>
          </cell>
        </row>
        <row r="45">
          <cell r="AQ45" t="str">
            <v>TJ202512041108000555761</v>
          </cell>
        </row>
        <row r="46">
          <cell r="AQ46" t="str">
            <v>TJ202512041109000269378</v>
          </cell>
        </row>
        <row r="47">
          <cell r="AQ47" t="str">
            <v>TJ202512041150000191842</v>
          </cell>
        </row>
        <row r="48">
          <cell r="AQ48" t="str">
            <v>TJ202512041449000118757</v>
          </cell>
        </row>
        <row r="49">
          <cell r="AQ49" t="str">
            <v>TJ202512041457000012958</v>
          </cell>
        </row>
        <row r="50">
          <cell r="AQ50" t="str">
            <v>TJ202512041458000435054</v>
          </cell>
        </row>
        <row r="51">
          <cell r="AQ51" t="str">
            <v>TJ202512041505000295118</v>
          </cell>
        </row>
        <row r="52">
          <cell r="AQ52" t="str">
            <v>TJ202512041506000079112</v>
          </cell>
        </row>
        <row r="53">
          <cell r="AQ53" t="str">
            <v>TJ202512041506000359072</v>
          </cell>
        </row>
        <row r="54">
          <cell r="AQ54" t="str">
            <v>TJ202512041507000523293</v>
          </cell>
        </row>
        <row r="55">
          <cell r="AQ55" t="str">
            <v>TJ202512041519000546618</v>
          </cell>
        </row>
        <row r="56">
          <cell r="AQ56" t="str">
            <v>TJ202512041540000452960</v>
          </cell>
        </row>
        <row r="57">
          <cell r="AQ57" t="str">
            <v>TJ202512041556000507999</v>
          </cell>
        </row>
        <row r="58">
          <cell r="AQ58" t="str">
            <v>TJ202512041626000319451</v>
          </cell>
        </row>
        <row r="59">
          <cell r="AQ59" t="str">
            <v>TJ202512041638000199182</v>
          </cell>
        </row>
        <row r="60">
          <cell r="AQ60" t="str">
            <v>TJ202512041649000480465</v>
          </cell>
        </row>
        <row r="61">
          <cell r="AQ61" t="str">
            <v>TJ202512041655000002620</v>
          </cell>
        </row>
        <row r="62">
          <cell r="AQ62" t="str">
            <v>TJ202512041718000052225</v>
          </cell>
        </row>
        <row r="63">
          <cell r="AQ63" t="str">
            <v>TJ202512041924000389047</v>
          </cell>
        </row>
        <row r="64">
          <cell r="AQ64" t="str">
            <v>TJ202512051004000014210</v>
          </cell>
        </row>
        <row r="65">
          <cell r="AQ65" t="str">
            <v>TJ202512051207000131422</v>
          </cell>
        </row>
        <row r="66">
          <cell r="AQ66" t="str">
            <v>TJ202512051341000185756</v>
          </cell>
        </row>
        <row r="67">
          <cell r="AQ67" t="str">
            <v>TJ202512051343000577561</v>
          </cell>
        </row>
        <row r="68">
          <cell r="AQ68" t="str">
            <v>TJ202512051345000256626</v>
          </cell>
        </row>
        <row r="69">
          <cell r="AQ69" t="str">
            <v>TJ202512051429000356828</v>
          </cell>
        </row>
        <row r="70">
          <cell r="AQ70" t="str">
            <v>TJ202512051434000156643</v>
          </cell>
        </row>
        <row r="71">
          <cell r="AQ71" t="str">
            <v>TJ202512051434000235037</v>
          </cell>
        </row>
        <row r="72">
          <cell r="AQ72" t="str">
            <v>TJ202512051436000061048</v>
          </cell>
        </row>
        <row r="73">
          <cell r="AQ73" t="str">
            <v>TJ202512051520000077707</v>
          </cell>
        </row>
        <row r="74">
          <cell r="AQ74" t="str">
            <v>TJ202512051528000021505</v>
          </cell>
        </row>
        <row r="75">
          <cell r="AQ75" t="str">
            <v>TJ202512051533000152147</v>
          </cell>
        </row>
        <row r="76">
          <cell r="AQ76" t="str">
            <v>TJ202512051546000108257</v>
          </cell>
        </row>
        <row r="77">
          <cell r="AQ77" t="str">
            <v>TJ202512051638000450827</v>
          </cell>
        </row>
        <row r="78">
          <cell r="AQ78" t="str">
            <v>TJ202512051705000129633</v>
          </cell>
        </row>
        <row r="79">
          <cell r="AQ79" t="str">
            <v>TJ202512062035000130046</v>
          </cell>
        </row>
        <row r="80">
          <cell r="AQ80" t="str">
            <v>TJ202512080958000512038</v>
          </cell>
        </row>
        <row r="81">
          <cell r="AQ81" t="str">
            <v>TJ202512081004000336880</v>
          </cell>
        </row>
        <row r="82">
          <cell r="AQ82" t="str">
            <v>TJ202512081040000217346</v>
          </cell>
        </row>
        <row r="83">
          <cell r="AQ83" t="str">
            <v>TJ202512081154000013734</v>
          </cell>
        </row>
        <row r="84">
          <cell r="AQ84" t="str">
            <v>TJ202512081215000092361</v>
          </cell>
        </row>
        <row r="85">
          <cell r="AQ85" t="str">
            <v>TJ202512081253000131670</v>
          </cell>
        </row>
        <row r="86">
          <cell r="AQ86" t="str">
            <v>TJ202512081255000016499</v>
          </cell>
        </row>
        <row r="87">
          <cell r="AQ87" t="str">
            <v>TJ202512081258000066546</v>
          </cell>
        </row>
        <row r="88">
          <cell r="AQ88" t="str">
            <v>TJ202512081258000548378</v>
          </cell>
        </row>
        <row r="89">
          <cell r="AQ89" t="str">
            <v>TJ202512081324000225196</v>
          </cell>
        </row>
        <row r="90">
          <cell r="AQ90" t="str">
            <v>TJ202512081331000231105</v>
          </cell>
        </row>
        <row r="91">
          <cell r="AQ91" t="str">
            <v>TJ202512081346000361440</v>
          </cell>
        </row>
        <row r="92">
          <cell r="AQ92" t="str">
            <v>TJ202512081404000149666</v>
          </cell>
        </row>
        <row r="93">
          <cell r="AQ93" t="str">
            <v>TJ202512081407000571281</v>
          </cell>
        </row>
        <row r="94">
          <cell r="AQ94" t="str">
            <v>TJ202512081442000167995</v>
          </cell>
        </row>
        <row r="95">
          <cell r="AQ95" t="str">
            <v>TJ202512081503000107781</v>
          </cell>
        </row>
        <row r="96">
          <cell r="AQ96" t="str">
            <v>TJ202512081504000504868</v>
          </cell>
        </row>
        <row r="97">
          <cell r="AQ97" t="str">
            <v>TJ202512081635000576506</v>
          </cell>
        </row>
        <row r="98">
          <cell r="AQ98" t="str">
            <v>TJ202512090906000485493</v>
          </cell>
        </row>
        <row r="99">
          <cell r="AQ99" t="str">
            <v>TJ202512090927000176116</v>
          </cell>
        </row>
        <row r="100">
          <cell r="AQ100" t="str">
            <v>TJ202512091019000351050</v>
          </cell>
        </row>
        <row r="101">
          <cell r="AQ101" t="str">
            <v>TJ202512091411000372035</v>
          </cell>
        </row>
        <row r="102">
          <cell r="AQ102" t="str">
            <v>TJ202512091416000441359</v>
          </cell>
        </row>
        <row r="103">
          <cell r="AQ103" t="str">
            <v>TJ202512091458000352001</v>
          </cell>
        </row>
        <row r="104">
          <cell r="AQ104" t="str">
            <v>TJ202512100936000034202</v>
          </cell>
        </row>
        <row r="105">
          <cell r="AQ105" t="str">
            <v>TJ202512091635000115968</v>
          </cell>
        </row>
        <row r="106">
          <cell r="AQ106" t="str">
            <v>TJ202512091657000426817</v>
          </cell>
        </row>
        <row r="107">
          <cell r="AQ107" t="str">
            <v>TJ202512091657000458293</v>
          </cell>
        </row>
        <row r="108">
          <cell r="AQ108" t="str">
            <v>TJ202512091658000206088</v>
          </cell>
        </row>
        <row r="109">
          <cell r="AQ109" t="str">
            <v>TJ202512091700000341681</v>
          </cell>
        </row>
        <row r="110">
          <cell r="AQ110" t="str">
            <v>TJ202512091830000181046</v>
          </cell>
        </row>
        <row r="111">
          <cell r="AQ111" t="str">
            <v>TJ202512092041000468874</v>
          </cell>
        </row>
        <row r="112">
          <cell r="AQ112" t="str">
            <v>TJ202512100912000343420</v>
          </cell>
        </row>
        <row r="113">
          <cell r="AQ113" t="str">
            <v>TJ202512100914000358917</v>
          </cell>
        </row>
        <row r="114">
          <cell r="AQ114" t="str">
            <v>TJ202512101056000224477</v>
          </cell>
        </row>
        <row r="115">
          <cell r="AQ115" t="str">
            <v>TJ202512101056000329624</v>
          </cell>
        </row>
        <row r="116">
          <cell r="AQ116" t="str">
            <v>TJ202512101104000430040</v>
          </cell>
        </row>
        <row r="117">
          <cell r="AQ117" t="str">
            <v>TJ202512101122000215496</v>
          </cell>
        </row>
        <row r="118">
          <cell r="AQ118" t="str">
            <v>TJ202512101346000339652</v>
          </cell>
        </row>
        <row r="119">
          <cell r="AQ119" t="str">
            <v>TJ202512101415000202770</v>
          </cell>
        </row>
        <row r="120">
          <cell r="AQ120" t="str">
            <v>TJ202512101520000068179</v>
          </cell>
        </row>
        <row r="121">
          <cell r="AQ121" t="str">
            <v>TJ202512101527000472055</v>
          </cell>
        </row>
        <row r="122">
          <cell r="AQ122" t="str">
            <v>TJ202512101542000268010</v>
          </cell>
        </row>
        <row r="123">
          <cell r="AQ123" t="str">
            <v>TJ202512101632000336281</v>
          </cell>
        </row>
        <row r="124">
          <cell r="AQ124" t="str">
            <v>TJ202512101656000323655</v>
          </cell>
        </row>
        <row r="125">
          <cell r="AQ125" t="str">
            <v>TJ202512101756000575648</v>
          </cell>
        </row>
        <row r="126">
          <cell r="AQ126" t="str">
            <v>TJ202512101806000408606</v>
          </cell>
        </row>
        <row r="127">
          <cell r="AQ127" t="str">
            <v>TJ202512102319000270323</v>
          </cell>
        </row>
        <row r="128">
          <cell r="AQ128" t="str">
            <v>TJ202512102329000567909</v>
          </cell>
        </row>
        <row r="129">
          <cell r="AQ129" t="str">
            <v>TJ202512111121000533537</v>
          </cell>
        </row>
        <row r="130">
          <cell r="AQ130" t="str">
            <v>TJ202512111405000561636</v>
          </cell>
        </row>
        <row r="131">
          <cell r="AQ131" t="str">
            <v>TJ202512111635000160076</v>
          </cell>
        </row>
        <row r="132">
          <cell r="AQ132" t="str">
            <v>TJ202512111643000460691</v>
          </cell>
        </row>
        <row r="133">
          <cell r="AQ133" t="str">
            <v>TJ202512111652000587110</v>
          </cell>
        </row>
        <row r="134">
          <cell r="AQ134" t="str">
            <v>TJ202512120934000310055</v>
          </cell>
        </row>
        <row r="135">
          <cell r="AQ135" t="str">
            <v>TJ202512121030000288552</v>
          </cell>
        </row>
        <row r="136">
          <cell r="AQ136" t="str">
            <v>TJ202512121247000364287</v>
          </cell>
        </row>
        <row r="137">
          <cell r="AQ137" t="str">
            <v>TJ202512121248000408743</v>
          </cell>
        </row>
        <row r="138">
          <cell r="AQ138" t="str">
            <v>TJ202512121353000139972</v>
          </cell>
        </row>
        <row r="139">
          <cell r="AQ139" t="str">
            <v>TJ202512121411000530566</v>
          </cell>
        </row>
        <row r="140">
          <cell r="AQ140" t="str">
            <v>TJ202512121415000013268</v>
          </cell>
        </row>
        <row r="141">
          <cell r="AQ141" t="str">
            <v>TJ202512121417000538883</v>
          </cell>
        </row>
        <row r="142">
          <cell r="AQ142" t="str">
            <v>TJ202512121423000163463</v>
          </cell>
        </row>
        <row r="143">
          <cell r="AQ143" t="str">
            <v>TJ202512121423000291717</v>
          </cell>
        </row>
        <row r="144">
          <cell r="AQ144" t="str">
            <v>TJ202512121424000408115</v>
          </cell>
        </row>
        <row r="145">
          <cell r="AQ145" t="str">
            <v>TJ202512121443000017015</v>
          </cell>
        </row>
        <row r="146">
          <cell r="AQ146" t="str">
            <v>TJ202512121619000172710</v>
          </cell>
        </row>
        <row r="147">
          <cell r="AQ147" t="str">
            <v>TJ202512121628000152102</v>
          </cell>
        </row>
        <row r="148">
          <cell r="AQ148" t="str">
            <v>TJ202512121632000053587</v>
          </cell>
        </row>
        <row r="149">
          <cell r="AQ149" t="str">
            <v>TJ202512121654000163545</v>
          </cell>
        </row>
        <row r="150">
          <cell r="AQ150" t="str">
            <v>TJ202512121712000269336</v>
          </cell>
        </row>
        <row r="151">
          <cell r="AQ151" t="str">
            <v>TJ202512121719000240023</v>
          </cell>
        </row>
        <row r="152">
          <cell r="AQ152" t="str">
            <v>TJ202512121720000412017</v>
          </cell>
        </row>
        <row r="153">
          <cell r="AQ153" t="str">
            <v>TJ202512121739000248117</v>
          </cell>
        </row>
        <row r="154">
          <cell r="AQ154" t="str">
            <v>TJ202512121740000232540</v>
          </cell>
        </row>
        <row r="155">
          <cell r="AQ155" t="str">
            <v>TJ202512121832000366683</v>
          </cell>
        </row>
        <row r="156">
          <cell r="AQ156" t="str">
            <v>TJ202512121835000135231</v>
          </cell>
        </row>
        <row r="157">
          <cell r="AQ157" t="str">
            <v>TJ202512121857000332930</v>
          </cell>
        </row>
        <row r="158">
          <cell r="AQ158" t="str">
            <v>TJ202512141813000589273</v>
          </cell>
        </row>
        <row r="159">
          <cell r="AQ159" t="str">
            <v>TJ202512141814000488242</v>
          </cell>
        </row>
        <row r="160">
          <cell r="AQ160" t="str">
            <v>TJ202512141815000392478</v>
          </cell>
        </row>
        <row r="161">
          <cell r="AQ161" t="str">
            <v>TJ202512141816000286605</v>
          </cell>
        </row>
        <row r="162">
          <cell r="AQ162" t="str">
            <v>TJ202512141817000148846</v>
          </cell>
        </row>
        <row r="163">
          <cell r="AQ163" t="str">
            <v>TJ202512141818000052694</v>
          </cell>
        </row>
        <row r="164">
          <cell r="AQ164" t="str">
            <v>TJ202512141818000473537</v>
          </cell>
        </row>
        <row r="165">
          <cell r="AQ165" t="str">
            <v>TJ202512150221000164028</v>
          </cell>
        </row>
        <row r="166">
          <cell r="AQ166" t="str">
            <v>TJ202512150912000327552</v>
          </cell>
        </row>
        <row r="167">
          <cell r="AQ167" t="str">
            <v>TJ202512150914000159931</v>
          </cell>
        </row>
        <row r="168">
          <cell r="AQ168" t="str">
            <v>TJ202512150958000358986</v>
          </cell>
        </row>
        <row r="169">
          <cell r="AQ169" t="str">
            <v>TJ202512151002000510886</v>
          </cell>
        </row>
        <row r="170">
          <cell r="AQ170" t="str">
            <v>TJ202512151003000526286</v>
          </cell>
        </row>
        <row r="171">
          <cell r="AQ171" t="str">
            <v>TJ202512151007000229232</v>
          </cell>
        </row>
        <row r="172">
          <cell r="AQ172" t="str">
            <v>TJ202512151007000563070</v>
          </cell>
        </row>
        <row r="173">
          <cell r="AQ173" t="str">
            <v>TJ202512151009000232370</v>
          </cell>
        </row>
        <row r="174">
          <cell r="AQ174" t="str">
            <v>TJ202512151009000557643</v>
          </cell>
        </row>
        <row r="175">
          <cell r="AQ175" t="str">
            <v>TJ202512151010000318692</v>
          </cell>
        </row>
        <row r="176">
          <cell r="AQ176" t="str">
            <v>TJ202512151011000372454</v>
          </cell>
        </row>
        <row r="177">
          <cell r="AQ177" t="str">
            <v>TJ202512151013000599833</v>
          </cell>
        </row>
        <row r="178">
          <cell r="AQ178" t="str">
            <v>TJ202512151015000017325</v>
          </cell>
        </row>
        <row r="179">
          <cell r="AQ179" t="str">
            <v>TJ202512151015000598141</v>
          </cell>
        </row>
        <row r="180">
          <cell r="AQ180" t="str">
            <v>TJ202512151102000063377</v>
          </cell>
        </row>
        <row r="181">
          <cell r="AQ181" t="str">
            <v>TJ202512151128000055578</v>
          </cell>
        </row>
        <row r="182">
          <cell r="AQ182" t="str">
            <v>TJ202512151217000097985</v>
          </cell>
        </row>
        <row r="183">
          <cell r="AQ183" t="str">
            <v>TJ202512151341000289784</v>
          </cell>
        </row>
        <row r="184">
          <cell r="AQ184" t="str">
            <v>TJ202512151350000059238</v>
          </cell>
        </row>
        <row r="185">
          <cell r="AQ185" t="str">
            <v>TJ202512151351000270330</v>
          </cell>
        </row>
        <row r="186">
          <cell r="AQ186" t="str">
            <v>TJ202512151359000401682</v>
          </cell>
        </row>
        <row r="187">
          <cell r="AQ187" t="str">
            <v>TJ202512151405000021056</v>
          </cell>
        </row>
        <row r="188">
          <cell r="AQ188" t="str">
            <v>TJ202512151414000420421</v>
          </cell>
        </row>
        <row r="189">
          <cell r="AQ189" t="str">
            <v>TJ202512151433000561023</v>
          </cell>
        </row>
        <row r="190">
          <cell r="AQ190" t="str">
            <v>TJ202512151521000103263</v>
          </cell>
        </row>
        <row r="191">
          <cell r="AQ191" t="str">
            <v>TJ202512151522000402482</v>
          </cell>
        </row>
        <row r="192">
          <cell r="AQ192" t="str">
            <v>TJ202512151613000152322</v>
          </cell>
        </row>
        <row r="193">
          <cell r="AQ193" t="str">
            <v>TJ202512151623000190910</v>
          </cell>
        </row>
        <row r="194">
          <cell r="AQ194" t="str">
            <v>TJ202512151624000091946</v>
          </cell>
        </row>
        <row r="195">
          <cell r="AQ195" t="str">
            <v>TJ202512151639000099653</v>
          </cell>
        </row>
        <row r="196">
          <cell r="AQ196" t="str">
            <v>TJ202512151719000512166</v>
          </cell>
        </row>
        <row r="197">
          <cell r="AQ197" t="str">
            <v>TJ202512151722000103939</v>
          </cell>
        </row>
        <row r="198">
          <cell r="AQ198" t="str">
            <v>TJ202512151930000327255</v>
          </cell>
        </row>
        <row r="199">
          <cell r="AQ199" t="str">
            <v>TJ202512151930000434425</v>
          </cell>
        </row>
        <row r="200">
          <cell r="AQ200" t="str">
            <v>TJ202512151932000038870</v>
          </cell>
        </row>
        <row r="201">
          <cell r="AQ201" t="str">
            <v>TJ202512161043000008328</v>
          </cell>
        </row>
        <row r="202">
          <cell r="AQ202" t="str">
            <v>TJ202512161109000542210</v>
          </cell>
        </row>
        <row r="203">
          <cell r="AQ203" t="str">
            <v>TJ202512161241000488781</v>
          </cell>
        </row>
        <row r="204">
          <cell r="AQ204" t="str">
            <v>TJ202512161348000117877</v>
          </cell>
        </row>
        <row r="205">
          <cell r="AQ205" t="str">
            <v>TJ202512161351000061263</v>
          </cell>
        </row>
        <row r="206">
          <cell r="AQ206" t="str">
            <v>TJ202512161352000002857</v>
          </cell>
        </row>
        <row r="207">
          <cell r="AQ207" t="str">
            <v>TJ202512161408000411726</v>
          </cell>
        </row>
        <row r="208">
          <cell r="AQ208" t="str">
            <v>TJ202512161411000145485</v>
          </cell>
        </row>
        <row r="209">
          <cell r="AQ209" t="str">
            <v>TJ202512161419000251708</v>
          </cell>
        </row>
        <row r="210">
          <cell r="AQ210" t="str">
            <v>TJ202512161424000446351</v>
          </cell>
        </row>
        <row r="211">
          <cell r="AQ211" t="str">
            <v>TJ202512161426000185483</v>
          </cell>
        </row>
        <row r="212">
          <cell r="AQ212" t="str">
            <v>TJ202512161427000243522</v>
          </cell>
        </row>
        <row r="213">
          <cell r="AQ213" t="str">
            <v>TJ202512161633000091470</v>
          </cell>
        </row>
        <row r="214">
          <cell r="AQ214" t="str">
            <v>TJ202512161654000530997</v>
          </cell>
        </row>
        <row r="215">
          <cell r="AQ215" t="str">
            <v>TJ202512170935000416056</v>
          </cell>
        </row>
        <row r="216">
          <cell r="AQ216" t="str">
            <v>TJ202512171106000002257</v>
          </cell>
        </row>
        <row r="217">
          <cell r="AQ217" t="str">
            <v>TJ202512171352000437182</v>
          </cell>
        </row>
        <row r="218">
          <cell r="AQ218" t="str">
            <v>TJ202512171353000057082</v>
          </cell>
        </row>
        <row r="219">
          <cell r="AQ219" t="str">
            <v>TJ202512171354000462129</v>
          </cell>
        </row>
        <row r="220">
          <cell r="AQ220" t="str">
            <v>TJ202512171358000106915</v>
          </cell>
        </row>
        <row r="221">
          <cell r="AQ221" t="str">
            <v>TJ202512191741000231618</v>
          </cell>
        </row>
        <row r="222">
          <cell r="AQ222" t="str">
            <v>TJ202512171538000223533</v>
          </cell>
        </row>
        <row r="223">
          <cell r="AQ223" t="str">
            <v>TJ202512171541000275584</v>
          </cell>
        </row>
        <row r="224">
          <cell r="AQ224" t="str">
            <v>TJ202512171549000023712</v>
          </cell>
        </row>
        <row r="225">
          <cell r="AQ225" t="str">
            <v>TJ202512171550000361245</v>
          </cell>
        </row>
        <row r="226">
          <cell r="AQ226" t="str">
            <v>TJ202512171607000040197</v>
          </cell>
        </row>
        <row r="227">
          <cell r="AQ227" t="str">
            <v>TJ202512171628000539458</v>
          </cell>
        </row>
        <row r="228">
          <cell r="AQ228" t="str">
            <v>TJ202512171631000148037</v>
          </cell>
        </row>
        <row r="229">
          <cell r="AQ229" t="str">
            <v>TJ202512171729000126067</v>
          </cell>
        </row>
        <row r="230">
          <cell r="AQ230" t="str">
            <v>TJ202512180922000167677</v>
          </cell>
        </row>
        <row r="231">
          <cell r="AQ231" t="str">
            <v>TJ202512180926000426499</v>
          </cell>
        </row>
        <row r="232">
          <cell r="AQ232" t="str">
            <v>TJ202512180947000060289</v>
          </cell>
        </row>
        <row r="233">
          <cell r="AQ233" t="str">
            <v>TJ202512181007000027140</v>
          </cell>
        </row>
        <row r="234">
          <cell r="AQ234" t="str">
            <v>TJ202512181339000003228</v>
          </cell>
        </row>
        <row r="235">
          <cell r="AQ235" t="str">
            <v>TJ202512181340000158950</v>
          </cell>
        </row>
        <row r="236">
          <cell r="AQ236" t="str">
            <v>TJ202512181341000522147</v>
          </cell>
        </row>
        <row r="237">
          <cell r="AQ237" t="str">
            <v>TJ202512181350000582273</v>
          </cell>
        </row>
        <row r="238">
          <cell r="AQ238" t="str">
            <v>TJ202512181356000060298</v>
          </cell>
        </row>
        <row r="239">
          <cell r="AQ239" t="str">
            <v>TJ202512181612000361464</v>
          </cell>
        </row>
        <row r="240">
          <cell r="AQ240" t="str">
            <v>TJ202512181621000513716</v>
          </cell>
        </row>
        <row r="241">
          <cell r="AQ241" t="str">
            <v>TJ202512181633000314046</v>
          </cell>
        </row>
        <row r="242">
          <cell r="AQ242" t="str">
            <v>TJ202512181643000520114</v>
          </cell>
        </row>
        <row r="243">
          <cell r="AQ243" t="str">
            <v>TJ202512181651000302089</v>
          </cell>
        </row>
        <row r="244">
          <cell r="AQ244" t="str">
            <v>TJ202512182031000268314</v>
          </cell>
        </row>
        <row r="245">
          <cell r="AQ245" t="str">
            <v>TJ202512190929000242621</v>
          </cell>
        </row>
        <row r="246">
          <cell r="AQ246" t="str">
            <v>TJ202512191049000439819</v>
          </cell>
        </row>
        <row r="247">
          <cell r="AQ247" t="str">
            <v>TJ202512191305000270815</v>
          </cell>
        </row>
        <row r="248">
          <cell r="AQ248" t="str">
            <v>TJ202512191345000250458</v>
          </cell>
        </row>
        <row r="249">
          <cell r="AQ249" t="str">
            <v>TJ202512191348000184149</v>
          </cell>
        </row>
        <row r="250">
          <cell r="AQ250" t="str">
            <v>TJ202512191456000383615</v>
          </cell>
        </row>
        <row r="251">
          <cell r="AQ251" t="str">
            <v>TJ202512191522000456729</v>
          </cell>
        </row>
        <row r="252">
          <cell r="AQ252" t="str">
            <v>TJ202512191526000028764</v>
          </cell>
        </row>
        <row r="253">
          <cell r="AQ253" t="str">
            <v>TJ202512191635000090268</v>
          </cell>
        </row>
        <row r="254">
          <cell r="AQ254" t="str">
            <v>TJ202512191646000354236</v>
          </cell>
        </row>
        <row r="255">
          <cell r="AQ255" t="str">
            <v>TJ202512191734000555641</v>
          </cell>
        </row>
        <row r="256">
          <cell r="AQ256" t="str">
            <v>TJ202512191735000285118</v>
          </cell>
        </row>
        <row r="257">
          <cell r="AQ257" t="str">
            <v>TJ202512191906000045789</v>
          </cell>
        </row>
        <row r="258">
          <cell r="AQ258" t="str">
            <v>TJ202512201712000272220</v>
          </cell>
        </row>
        <row r="259">
          <cell r="AQ259" t="str">
            <v>TJ202512220922000299912</v>
          </cell>
        </row>
        <row r="260">
          <cell r="AQ260" t="str">
            <v>TJ202512220951000525820</v>
          </cell>
        </row>
        <row r="261">
          <cell r="AQ261" t="str">
            <v>TJ202512220959000255973</v>
          </cell>
        </row>
        <row r="262">
          <cell r="AQ262" t="str">
            <v>TJ202512221132000054375</v>
          </cell>
        </row>
        <row r="263">
          <cell r="AQ263" t="str">
            <v>TJ202512221132000552841</v>
          </cell>
        </row>
        <row r="264">
          <cell r="AQ264" t="str">
            <v>TJ202512221139000269074</v>
          </cell>
        </row>
        <row r="265">
          <cell r="AQ265" t="str">
            <v>TJ202512221140000212655</v>
          </cell>
        </row>
        <row r="266">
          <cell r="AQ266" t="str">
            <v>TJ202512221343000100668</v>
          </cell>
        </row>
        <row r="267">
          <cell r="AQ267" t="str">
            <v>TJ202512221355000421706</v>
          </cell>
        </row>
        <row r="268">
          <cell r="AQ268" t="str">
            <v>TJ202512221356000065174</v>
          </cell>
        </row>
        <row r="269">
          <cell r="AQ269" t="str">
            <v>TJ202512221356000498935</v>
          </cell>
        </row>
        <row r="270">
          <cell r="AQ270" t="str">
            <v>TJ202512221410000231549</v>
          </cell>
        </row>
        <row r="271">
          <cell r="AQ271" t="str">
            <v>TJ202512221411000567159</v>
          </cell>
        </row>
        <row r="272">
          <cell r="AQ272" t="str">
            <v>TJ202512221412000451616</v>
          </cell>
        </row>
        <row r="273">
          <cell r="AQ273" t="str">
            <v>TJ202512221415000451905</v>
          </cell>
        </row>
        <row r="274">
          <cell r="AQ274" t="str">
            <v>TJ202512221419000189484</v>
          </cell>
        </row>
        <row r="275">
          <cell r="AQ275" t="str">
            <v>TJ202512221448000055516</v>
          </cell>
        </row>
        <row r="276">
          <cell r="AQ276" t="str">
            <v>TJ202512221524000022351</v>
          </cell>
        </row>
        <row r="277">
          <cell r="AQ277" t="str">
            <v>TJ202512221529000015937</v>
          </cell>
        </row>
        <row r="278">
          <cell r="AQ278" t="str">
            <v>TJ202512221609000358247</v>
          </cell>
        </row>
        <row r="279">
          <cell r="AQ279" t="str">
            <v>TJ202512221613000071792</v>
          </cell>
        </row>
        <row r="280">
          <cell r="AQ280" t="str">
            <v>TJ202512221616000206331</v>
          </cell>
        </row>
        <row r="281">
          <cell r="AQ281" t="str">
            <v>TJ202512221619000176262</v>
          </cell>
        </row>
        <row r="282">
          <cell r="AQ282" t="str">
            <v>TJ202512221627000464967</v>
          </cell>
        </row>
        <row r="283">
          <cell r="AQ283" t="str">
            <v>TJ202512221627000496215</v>
          </cell>
        </row>
        <row r="284">
          <cell r="AQ284" t="str">
            <v>TJ202512221630000327860</v>
          </cell>
        </row>
        <row r="285">
          <cell r="AQ285" t="str">
            <v>TJ202512221632000519937</v>
          </cell>
        </row>
        <row r="286">
          <cell r="AQ286" t="str">
            <v>TJ202512221635000214068</v>
          </cell>
        </row>
        <row r="287">
          <cell r="AQ287" t="str">
            <v>TJ202512221636000390559</v>
          </cell>
        </row>
        <row r="288">
          <cell r="AQ288" t="str">
            <v>TJ202512221637000113472</v>
          </cell>
        </row>
        <row r="289">
          <cell r="AQ289" t="str">
            <v>TJ202512221637000406537</v>
          </cell>
        </row>
        <row r="290">
          <cell r="AQ290" t="str">
            <v>TJ202512221639000429433</v>
          </cell>
        </row>
        <row r="291">
          <cell r="AQ291" t="str">
            <v>TJ202512221639000447774</v>
          </cell>
        </row>
        <row r="292">
          <cell r="AQ292" t="str">
            <v>TJ202512221648000130370</v>
          </cell>
        </row>
        <row r="293">
          <cell r="AQ293" t="str">
            <v>TJ202512221650000111893</v>
          </cell>
        </row>
        <row r="294">
          <cell r="AQ294" t="str">
            <v>TJ202512240945000018291</v>
          </cell>
        </row>
        <row r="295">
          <cell r="AQ295" t="str">
            <v>TJ202512221808000297137</v>
          </cell>
        </row>
        <row r="296">
          <cell r="AQ296" t="str">
            <v>TJ202512230907000310937</v>
          </cell>
        </row>
        <row r="297">
          <cell r="AQ297" t="str">
            <v>TJ202512230911000202997</v>
          </cell>
        </row>
        <row r="298">
          <cell r="AQ298" t="str">
            <v>TJ202512230922000460219</v>
          </cell>
        </row>
        <row r="299">
          <cell r="AQ299" t="str">
            <v>TJ202512230932000483273</v>
          </cell>
        </row>
        <row r="300">
          <cell r="AQ300" t="str">
            <v>TJ202512230938000184689</v>
          </cell>
        </row>
        <row r="301">
          <cell r="AQ301" t="str">
            <v>TJ202512230959000589996</v>
          </cell>
        </row>
        <row r="302">
          <cell r="AQ302" t="str">
            <v>TJ202512231019000519060</v>
          </cell>
        </row>
        <row r="303">
          <cell r="AQ303" t="str">
            <v>TJ202512231124000290212</v>
          </cell>
        </row>
        <row r="304">
          <cell r="AQ304" t="str">
            <v>TJ202512231338000375270</v>
          </cell>
        </row>
        <row r="305">
          <cell r="AQ305" t="str">
            <v>TJ202512231436000099384</v>
          </cell>
        </row>
        <row r="306">
          <cell r="AQ306" t="str">
            <v>TJ202512231440000043254</v>
          </cell>
        </row>
        <row r="307">
          <cell r="AQ307" t="str">
            <v>TJ202512231444000243531</v>
          </cell>
        </row>
        <row r="308">
          <cell r="AQ308" t="str">
            <v>TJ202512231448000032701</v>
          </cell>
        </row>
        <row r="309">
          <cell r="AQ309" t="str">
            <v>TJ202512231522000358937</v>
          </cell>
        </row>
        <row r="310">
          <cell r="AQ310" t="str">
            <v>TJ202512231600000421095</v>
          </cell>
        </row>
        <row r="311">
          <cell r="AQ311" t="str">
            <v>TJ202512232257000063543</v>
          </cell>
        </row>
        <row r="312">
          <cell r="AQ312" t="str">
            <v>TJ202512240029000198399</v>
          </cell>
        </row>
        <row r="313">
          <cell r="AQ313" t="str">
            <v>TJ202512240054000379016</v>
          </cell>
        </row>
        <row r="314">
          <cell r="AQ314" t="str">
            <v>TJ202512241007000248869</v>
          </cell>
        </row>
        <row r="315">
          <cell r="AQ315" t="str">
            <v>TJ202512241012000004027</v>
          </cell>
        </row>
        <row r="316">
          <cell r="AQ316" t="str">
            <v>TJ202512241033000500473</v>
          </cell>
        </row>
        <row r="317">
          <cell r="AQ317" t="str">
            <v>TJ202512241040000492325</v>
          </cell>
        </row>
        <row r="318">
          <cell r="AQ318" t="str">
            <v>TJ202512241609000541188</v>
          </cell>
        </row>
        <row r="319">
          <cell r="AQ319" t="str">
            <v>TJ202512241611000553628</v>
          </cell>
        </row>
        <row r="320">
          <cell r="AQ320" t="str">
            <v>TJ202512241628000061967</v>
          </cell>
        </row>
        <row r="321">
          <cell r="AQ321" t="str">
            <v>TJ202512241633000367465</v>
          </cell>
        </row>
        <row r="322">
          <cell r="AQ322" t="str">
            <v>TJ202512241634000104731</v>
          </cell>
        </row>
        <row r="323">
          <cell r="AQ323" t="str">
            <v>TJ202512241635000351022</v>
          </cell>
        </row>
        <row r="324">
          <cell r="AQ324" t="str">
            <v>TJ202512241637000165536</v>
          </cell>
        </row>
        <row r="325">
          <cell r="AQ325" t="str">
            <v>TJ202512241638000217428</v>
          </cell>
        </row>
        <row r="326">
          <cell r="AQ326" t="str">
            <v>TJ202512241642000101583</v>
          </cell>
        </row>
        <row r="327">
          <cell r="AQ327" t="str">
            <v>TJ202512241644000211570</v>
          </cell>
        </row>
        <row r="328">
          <cell r="AQ328" t="str">
            <v>TJ202512241645000319690</v>
          </cell>
        </row>
        <row r="329">
          <cell r="AQ329" t="str">
            <v>TJ202512241646000541066</v>
          </cell>
        </row>
        <row r="330">
          <cell r="AQ330" t="str">
            <v>TJ202512241656000311780</v>
          </cell>
        </row>
        <row r="331">
          <cell r="AQ331" t="str">
            <v>TJ202512241704000373137</v>
          </cell>
        </row>
        <row r="332">
          <cell r="AQ332" t="str">
            <v>TJ202512241715000244086</v>
          </cell>
        </row>
        <row r="333">
          <cell r="AQ333" t="str">
            <v>TJ202512241717000169428</v>
          </cell>
        </row>
        <row r="334">
          <cell r="AQ334" t="str">
            <v>TJ202512241720000152306</v>
          </cell>
        </row>
        <row r="335">
          <cell r="AQ335" t="str">
            <v>TJ202512241722000277573</v>
          </cell>
        </row>
        <row r="336">
          <cell r="AQ336" t="str">
            <v>TJ202512241723000490206</v>
          </cell>
        </row>
        <row r="337">
          <cell r="AQ337" t="str">
            <v>TJ202512241725000242103</v>
          </cell>
        </row>
        <row r="338">
          <cell r="AQ338" t="str">
            <v>TJ202512241727000511827</v>
          </cell>
        </row>
        <row r="339">
          <cell r="AQ339" t="str">
            <v>TJ202512241728000205043</v>
          </cell>
        </row>
        <row r="340">
          <cell r="AQ340" t="str">
            <v>TJ202512241729000282463</v>
          </cell>
        </row>
        <row r="341">
          <cell r="AQ341" t="str">
            <v>TJ202512241730000433529</v>
          </cell>
        </row>
        <row r="342">
          <cell r="AQ342" t="str">
            <v>TJ202512241731000540896</v>
          </cell>
        </row>
        <row r="343">
          <cell r="AQ343" t="str">
            <v>TJ202512241733000140380</v>
          </cell>
        </row>
        <row r="344">
          <cell r="AQ344" t="str">
            <v>TJ202512241734000470716</v>
          </cell>
        </row>
        <row r="345">
          <cell r="AQ345" t="str">
            <v>TJ202512241736000089140</v>
          </cell>
        </row>
        <row r="346">
          <cell r="AQ346" t="str">
            <v>TJ202512241737000249893</v>
          </cell>
        </row>
        <row r="347">
          <cell r="AQ347" t="str">
            <v>TJ202512251141000326780</v>
          </cell>
        </row>
        <row r="348">
          <cell r="AQ348" t="str">
            <v>TJ202512251145000574717</v>
          </cell>
        </row>
        <row r="349">
          <cell r="AQ349" t="str">
            <v>TJ202512251148000521915</v>
          </cell>
        </row>
        <row r="350">
          <cell r="AQ350" t="str">
            <v>TJ202512251523000398568</v>
          </cell>
        </row>
        <row r="351">
          <cell r="AQ351" t="str">
            <v>TJ202512251552000310600</v>
          </cell>
        </row>
        <row r="352">
          <cell r="AQ352" t="str">
            <v>TJ202512251752000030161</v>
          </cell>
        </row>
        <row r="353">
          <cell r="AQ353" t="str">
            <v>TJ202512251843000193698</v>
          </cell>
        </row>
        <row r="354">
          <cell r="AQ354" t="str">
            <v>TJ202512261220000432954</v>
          </cell>
        </row>
        <row r="355">
          <cell r="AQ355" t="str">
            <v>TJ202512261222000013157</v>
          </cell>
        </row>
        <row r="356">
          <cell r="AQ356" t="str">
            <v>TJ202512261223000240994</v>
          </cell>
        </row>
        <row r="357">
          <cell r="AQ357" t="str">
            <v>TJ202512261446000017894</v>
          </cell>
        </row>
        <row r="358">
          <cell r="AQ358" t="str">
            <v>TJ202512261448000143931</v>
          </cell>
        </row>
        <row r="359">
          <cell r="AQ359" t="str">
            <v>TJ202512261601000561914</v>
          </cell>
        </row>
        <row r="360">
          <cell r="AQ360" t="str">
            <v>TJ202512261758000266548</v>
          </cell>
        </row>
        <row r="361">
          <cell r="AQ361" t="str">
            <v>TJ202512261807000501846</v>
          </cell>
        </row>
        <row r="362">
          <cell r="AQ362" t="str">
            <v>TJ202512290945000298055</v>
          </cell>
        </row>
        <row r="363">
          <cell r="AQ363" t="str">
            <v>TJ202512291016000401809</v>
          </cell>
        </row>
        <row r="364">
          <cell r="AQ364" t="str">
            <v>TJ202512291019000002197</v>
          </cell>
        </row>
        <row r="365">
          <cell r="AQ365" t="str">
            <v>TJ202512291020000204861</v>
          </cell>
        </row>
        <row r="366">
          <cell r="AQ366" t="str">
            <v>TJ202512291025000276851</v>
          </cell>
        </row>
        <row r="367">
          <cell r="AQ367" t="str">
            <v>TJ202512291404000370907</v>
          </cell>
        </row>
        <row r="368">
          <cell r="AQ368" t="str">
            <v>TJ202512291533000382157</v>
          </cell>
        </row>
        <row r="369">
          <cell r="AQ369" t="str">
            <v>TJ202512291535000223643</v>
          </cell>
        </row>
        <row r="370">
          <cell r="AQ370" t="str">
            <v>TJ202512291535000231995</v>
          </cell>
        </row>
        <row r="371">
          <cell r="AQ371" t="str">
            <v>TJ202512291545000192210</v>
          </cell>
        </row>
        <row r="372">
          <cell r="AQ372" t="str">
            <v>TJ202512291602000166573</v>
          </cell>
        </row>
        <row r="373">
          <cell r="AQ373" t="str">
            <v>TJ202512291758000132248</v>
          </cell>
        </row>
        <row r="374">
          <cell r="AQ374" t="str">
            <v>TJ202512300926000349918</v>
          </cell>
        </row>
        <row r="375">
          <cell r="AQ375" t="str">
            <v>TJ202512300929000004088</v>
          </cell>
        </row>
        <row r="376">
          <cell r="AQ376" t="str">
            <v>TJ202512300937000326641</v>
          </cell>
        </row>
        <row r="377">
          <cell r="AQ377" t="str">
            <v>TJ202512300946000121675</v>
          </cell>
        </row>
        <row r="378">
          <cell r="AQ378" t="str">
            <v>TJ202512300946000347304</v>
          </cell>
        </row>
        <row r="379">
          <cell r="AQ379" t="str">
            <v>TJ202512300950000585966</v>
          </cell>
        </row>
        <row r="380">
          <cell r="AQ380" t="str">
            <v>TJ202512300952000257342</v>
          </cell>
        </row>
        <row r="381">
          <cell r="AQ381" t="str">
            <v>TJ202512301014000150156</v>
          </cell>
        </row>
        <row r="382">
          <cell r="AQ382" t="str">
            <v>TJ202512301016000586685</v>
          </cell>
        </row>
        <row r="383">
          <cell r="AQ383" t="str">
            <v>TJ202512301020000572997</v>
          </cell>
        </row>
        <row r="384">
          <cell r="AQ384" t="str">
            <v>TJ202512301036000086917</v>
          </cell>
        </row>
        <row r="385">
          <cell r="AQ385" t="str">
            <v>TJ202512301040000128940</v>
          </cell>
        </row>
        <row r="386">
          <cell r="AQ386" t="str">
            <v>TJ202512301111000301430</v>
          </cell>
        </row>
        <row r="387">
          <cell r="AQ387" t="str">
            <v>TJ202512301116000121485</v>
          </cell>
        </row>
        <row r="388">
          <cell r="AQ388" t="str">
            <v>TJ202512301119000440803</v>
          </cell>
        </row>
        <row r="389">
          <cell r="AQ389" t="str">
            <v>TJ202512301122000378608</v>
          </cell>
        </row>
        <row r="390">
          <cell r="AQ390" t="str">
            <v>TJ202512301127000238472</v>
          </cell>
        </row>
        <row r="391">
          <cell r="AQ391" t="str">
            <v>TJ202512301140000224673</v>
          </cell>
        </row>
        <row r="392">
          <cell r="AQ392" t="str">
            <v>TJ202512301144000390493</v>
          </cell>
        </row>
        <row r="393">
          <cell r="AQ393" t="str">
            <v>TJ202512301356000314802</v>
          </cell>
        </row>
        <row r="394">
          <cell r="AQ394" t="str">
            <v>TJ202512301605000314800</v>
          </cell>
        </row>
        <row r="395">
          <cell r="AQ395" t="str">
            <v>TJ202512301607000226898</v>
          </cell>
        </row>
        <row r="396">
          <cell r="AQ396" t="str">
            <v>TJ202512301609000484786</v>
          </cell>
        </row>
        <row r="397">
          <cell r="AQ397" t="str">
            <v>TJ202512301628000192633</v>
          </cell>
        </row>
        <row r="398">
          <cell r="AQ398" t="str">
            <v>TJ202512301732000267119</v>
          </cell>
        </row>
        <row r="399">
          <cell r="AQ399" t="str">
            <v>TJ202512301854000190246</v>
          </cell>
        </row>
        <row r="400">
          <cell r="AQ400" t="str">
            <v>TJ202512301905000431874</v>
          </cell>
        </row>
        <row r="401">
          <cell r="AQ401" t="str">
            <v>TJ202512301909000258823</v>
          </cell>
        </row>
        <row r="402">
          <cell r="AQ402" t="str">
            <v>TJ202512301911000243770</v>
          </cell>
        </row>
        <row r="403">
          <cell r="AQ403" t="str">
            <v>TJ202512301913000487541</v>
          </cell>
        </row>
        <row r="404">
          <cell r="AQ404" t="str">
            <v>TJ202512310923000142285</v>
          </cell>
        </row>
        <row r="405">
          <cell r="AQ405" t="str">
            <v>TJ202512310940000165824</v>
          </cell>
        </row>
        <row r="406">
          <cell r="AQ406" t="str">
            <v>TJ202512311016000155160</v>
          </cell>
        </row>
        <row r="407">
          <cell r="AQ407" t="str">
            <v>TJ202512311211000496411</v>
          </cell>
        </row>
        <row r="408">
          <cell r="AQ408" t="str">
            <v>TJ202512311447000411107</v>
          </cell>
        </row>
        <row r="409">
          <cell r="AQ409" t="str">
            <v>TJ202512311453000016862</v>
          </cell>
        </row>
        <row r="410">
          <cell r="AQ410" t="str">
            <v>TJ202512311500000147329</v>
          </cell>
        </row>
        <row r="411">
          <cell r="AQ411" t="str">
            <v>TJ202512311615000468650</v>
          </cell>
        </row>
        <row r="412">
          <cell r="AQ412" t="str">
            <v>TJ202512311803000241289</v>
          </cell>
        </row>
        <row r="413">
          <cell r="AQ413" t="str">
            <v>TJ202512021519000271014-1</v>
          </cell>
        </row>
        <row r="414">
          <cell r="AQ414" t="str">
            <v>TJ202511281633000173184</v>
          </cell>
        </row>
        <row r="415">
          <cell r="AQ415" t="str">
            <v>TJ202511281636000077809</v>
          </cell>
        </row>
        <row r="416">
          <cell r="AQ416" t="str">
            <v>TJ202511281638000134438</v>
          </cell>
        </row>
        <row r="417">
          <cell r="AQ417" t="str">
            <v>TJ202511281639000237423</v>
          </cell>
        </row>
        <row r="418">
          <cell r="AQ418" t="str">
            <v>TJ202511281641000481459</v>
          </cell>
        </row>
        <row r="419">
          <cell r="AQ419" t="str">
            <v>TJ202511281643000029104</v>
          </cell>
        </row>
        <row r="420">
          <cell r="AQ420" t="str">
            <v>TJ202511281644000204785</v>
          </cell>
        </row>
        <row r="421">
          <cell r="AQ421" t="str">
            <v>TJ202511281645000319134</v>
          </cell>
        </row>
        <row r="422">
          <cell r="AQ422" t="str">
            <v>TJ202511281646000534129</v>
          </cell>
        </row>
        <row r="423">
          <cell r="AQ423" t="str">
            <v>TJ202511281648000018806</v>
          </cell>
        </row>
        <row r="424">
          <cell r="AQ424" t="str">
            <v>TJ202511281648000582425</v>
          </cell>
        </row>
        <row r="425">
          <cell r="AQ425" t="str">
            <v>TJ202511281703000400609</v>
          </cell>
        </row>
        <row r="426">
          <cell r="AQ426" t="str">
            <v>TJ202511281704000585051</v>
          </cell>
        </row>
        <row r="427">
          <cell r="AQ427" t="str">
            <v>TJ202511281706000008548</v>
          </cell>
        </row>
        <row r="428">
          <cell r="AQ428" t="str">
            <v>TJ202511281707000093213</v>
          </cell>
        </row>
        <row r="429">
          <cell r="AQ429" t="str">
            <v>TJ202506241527000580802</v>
          </cell>
        </row>
        <row r="430">
          <cell r="AQ430" t="str">
            <v>TJ202507171634000223572</v>
          </cell>
        </row>
        <row r="431">
          <cell r="AQ431" t="str">
            <v>TJ202508271031000450207</v>
          </cell>
        </row>
        <row r="432">
          <cell r="AQ432" t="str">
            <v>TJ202510201433000148480</v>
          </cell>
        </row>
        <row r="433">
          <cell r="AQ433" t="str">
            <v>TJ202510311358000363228</v>
          </cell>
        </row>
        <row r="434">
          <cell r="AQ434" t="str">
            <v>TJ202511051133000576058</v>
          </cell>
        </row>
        <row r="435">
          <cell r="AQ435" t="str">
            <v>TJ202511141423000344390</v>
          </cell>
        </row>
        <row r="436">
          <cell r="AQ436" t="str">
            <v>TJ202511201334000128183</v>
          </cell>
        </row>
        <row r="437">
          <cell r="AQ437" t="str">
            <v>TJ202511211018000583839</v>
          </cell>
        </row>
        <row r="438">
          <cell r="AQ438" t="str">
            <v>TJ202511211022000404442</v>
          </cell>
        </row>
        <row r="439">
          <cell r="AQ439" t="str">
            <v>TJ202511211513000210268</v>
          </cell>
        </row>
        <row r="440">
          <cell r="AQ440" t="str">
            <v>TJ202511271604000506062</v>
          </cell>
        </row>
        <row r="441">
          <cell r="AQ441" t="str">
            <v>TJ202511281348000480727</v>
          </cell>
        </row>
        <row r="442">
          <cell r="AQ442" t="str">
            <v>TJ202511291805000182841</v>
          </cell>
        </row>
        <row r="443">
          <cell r="AQ443" t="str">
            <v>TJ202512020941000156097</v>
          </cell>
        </row>
        <row r="444">
          <cell r="AQ444" t="str">
            <v>TJ202512021642000007326</v>
          </cell>
        </row>
        <row r="445">
          <cell r="AQ445" t="str">
            <v>TJ202512031540000295587</v>
          </cell>
        </row>
        <row r="446">
          <cell r="AQ446" t="str">
            <v>TJ202512111413000447977</v>
          </cell>
        </row>
        <row r="447">
          <cell r="AQ447" t="str">
            <v>TJ202512141751000346281</v>
          </cell>
        </row>
        <row r="448">
          <cell r="AQ448" t="str">
            <v>TJ202512151747000440254</v>
          </cell>
        </row>
        <row r="449">
          <cell r="AQ449" t="str">
            <v>TJ202512181248000295642</v>
          </cell>
        </row>
        <row r="450">
          <cell r="AQ450" t="str">
            <v>TJ202512181259000117111</v>
          </cell>
        </row>
        <row r="451">
          <cell r="AQ451" t="str">
            <v>TJ202512191825000019578</v>
          </cell>
        </row>
        <row r="452">
          <cell r="AQ452" t="str">
            <v>TJ202512251715000341813</v>
          </cell>
        </row>
        <row r="453">
          <cell r="AQ453" t="str">
            <v>TJ202512311846000008136</v>
          </cell>
        </row>
        <row r="454">
          <cell r="AQ454" t="str">
            <v>TJ202512020912000234377-1</v>
          </cell>
        </row>
      </sheetData>
      <sheetData sheetId="3" refreshError="1">
        <row r="2">
          <cell r="A2" t="str">
            <v>TJ202512010914000217639</v>
          </cell>
        </row>
        <row r="2">
          <cell r="C2">
            <v>228.57</v>
          </cell>
          <cell r="D2">
            <v>33275</v>
          </cell>
          <cell r="E2">
            <v>11.43</v>
          </cell>
        </row>
        <row r="3">
          <cell r="A3" t="str">
            <v>TJ202512010936000029991</v>
          </cell>
        </row>
        <row r="3">
          <cell r="C3">
            <v>9168.79</v>
          </cell>
          <cell r="D3">
            <v>0</v>
          </cell>
          <cell r="E3">
            <v>550.13</v>
          </cell>
        </row>
        <row r="4">
          <cell r="A4" t="str">
            <v>TJ202512010952000277009</v>
          </cell>
        </row>
        <row r="4">
          <cell r="C4">
            <v>8773.58</v>
          </cell>
          <cell r="D4">
            <v>0</v>
          </cell>
          <cell r="E4">
            <v>526.42</v>
          </cell>
        </row>
        <row r="5">
          <cell r="A5" t="str">
            <v>TJ202512011032000412415</v>
          </cell>
        </row>
        <row r="5">
          <cell r="C5">
            <v>321428.16</v>
          </cell>
          <cell r="D5">
            <v>0</v>
          </cell>
          <cell r="E5">
            <v>19285.69</v>
          </cell>
        </row>
        <row r="6">
          <cell r="A6" t="str">
            <v>TJ202512011045000017836</v>
          </cell>
        </row>
        <row r="6">
          <cell r="C6">
            <v>59984.15</v>
          </cell>
          <cell r="D6">
            <v>0</v>
          </cell>
          <cell r="E6">
            <v>3599.05</v>
          </cell>
        </row>
        <row r="7">
          <cell r="A7" t="str">
            <v>TJ202512011144000382060</v>
          </cell>
        </row>
        <row r="7">
          <cell r="C7">
            <v>2624.53</v>
          </cell>
          <cell r="D7">
            <v>0</v>
          </cell>
          <cell r="E7">
            <v>157.47</v>
          </cell>
        </row>
        <row r="8">
          <cell r="A8" t="str">
            <v>TJ202512011145000566762</v>
          </cell>
        </row>
        <row r="8">
          <cell r="C8">
            <v>3755.09</v>
          </cell>
          <cell r="D8">
            <v>0</v>
          </cell>
          <cell r="E8">
            <v>225.31</v>
          </cell>
        </row>
        <row r="9">
          <cell r="A9" t="str">
            <v>TJ202512011203000030494</v>
          </cell>
        </row>
        <row r="9">
          <cell r="C9">
            <v>73246.74</v>
          </cell>
          <cell r="D9">
            <v>0</v>
          </cell>
          <cell r="E9">
            <v>4394.8</v>
          </cell>
        </row>
        <row r="10">
          <cell r="A10" t="str">
            <v>TJ202512011334000210352</v>
          </cell>
        </row>
        <row r="10">
          <cell r="C10">
            <v>25153.77</v>
          </cell>
          <cell r="D10">
            <v>0</v>
          </cell>
          <cell r="E10">
            <v>1509.23</v>
          </cell>
        </row>
        <row r="11">
          <cell r="A11" t="str">
            <v>TJ202512011519000128722</v>
          </cell>
        </row>
        <row r="11">
          <cell r="C11">
            <v>782</v>
          </cell>
          <cell r="D11">
            <v>103040.29</v>
          </cell>
          <cell r="E11">
            <v>39.1</v>
          </cell>
        </row>
        <row r="12">
          <cell r="A12" t="str">
            <v>TJ202512011524000290727</v>
          </cell>
        </row>
        <row r="12">
          <cell r="C12">
            <v>460</v>
          </cell>
          <cell r="D12">
            <v>62566.95</v>
          </cell>
          <cell r="E12">
            <v>23</v>
          </cell>
        </row>
        <row r="13">
          <cell r="A13" t="str">
            <v>TJ202512011528000448156</v>
          </cell>
        </row>
        <row r="13">
          <cell r="C13">
            <v>92</v>
          </cell>
          <cell r="D13">
            <v>6459.84</v>
          </cell>
          <cell r="E13">
            <v>4.6</v>
          </cell>
        </row>
        <row r="14">
          <cell r="A14" t="str">
            <v>TJ202512011754000073051</v>
          </cell>
        </row>
        <row r="14">
          <cell r="C14">
            <v>2042.85</v>
          </cell>
          <cell r="D14">
            <v>270816.8</v>
          </cell>
          <cell r="E14">
            <v>102.15</v>
          </cell>
        </row>
        <row r="15">
          <cell r="A15" t="str">
            <v>TJ202512020912000234377</v>
          </cell>
        </row>
        <row r="15">
          <cell r="C15">
            <v>0</v>
          </cell>
          <cell r="D15">
            <v>239913.88</v>
          </cell>
          <cell r="E15">
            <v>0</v>
          </cell>
        </row>
        <row r="16">
          <cell r="A16" t="str">
            <v>TJ202512020914000230838</v>
          </cell>
        </row>
        <row r="16">
          <cell r="C16">
            <v>35.85</v>
          </cell>
          <cell r="D16">
            <v>0</v>
          </cell>
          <cell r="E16">
            <v>2.15</v>
          </cell>
        </row>
        <row r="17">
          <cell r="A17" t="str">
            <v>TJ202512020916000393523</v>
          </cell>
        </row>
        <row r="17">
          <cell r="C17">
            <v>557.14</v>
          </cell>
          <cell r="D17">
            <v>73517.47</v>
          </cell>
          <cell r="E17">
            <v>27.86</v>
          </cell>
        </row>
        <row r="18">
          <cell r="A18" t="str">
            <v>TJ202512020921000119648</v>
          </cell>
        </row>
        <row r="18">
          <cell r="C18">
            <v>1238.1</v>
          </cell>
          <cell r="D18">
            <v>182425.8</v>
          </cell>
          <cell r="E18">
            <v>61.9</v>
          </cell>
        </row>
        <row r="19">
          <cell r="A19" t="str">
            <v>TJ202512020927000032377</v>
          </cell>
        </row>
        <row r="19">
          <cell r="C19">
            <v>0</v>
          </cell>
          <cell r="D19">
            <v>12772.5</v>
          </cell>
          <cell r="E19">
            <v>0</v>
          </cell>
        </row>
        <row r="20">
          <cell r="A20" t="str">
            <v>TJ202512021410000083517</v>
          </cell>
        </row>
        <row r="20">
          <cell r="C20">
            <v>111307.88</v>
          </cell>
          <cell r="D20">
            <v>0</v>
          </cell>
          <cell r="E20">
            <v>6678.47</v>
          </cell>
        </row>
        <row r="21">
          <cell r="A21" t="str">
            <v>TJ202512021519000271014</v>
          </cell>
        </row>
        <row r="21">
          <cell r="C21">
            <v>309.52</v>
          </cell>
          <cell r="D21">
            <v>28528.58</v>
          </cell>
          <cell r="E21">
            <v>15.48</v>
          </cell>
        </row>
        <row r="22">
          <cell r="A22" t="str">
            <v>TJ202512021609000063803</v>
          </cell>
        </row>
        <row r="22">
          <cell r="C22">
            <v>1312.26</v>
          </cell>
          <cell r="D22">
            <v>0</v>
          </cell>
          <cell r="E22">
            <v>78.74</v>
          </cell>
        </row>
        <row r="23">
          <cell r="A23" t="str">
            <v>TJ202512021611000107980</v>
          </cell>
        </row>
        <row r="23">
          <cell r="C23">
            <v>39632.98</v>
          </cell>
          <cell r="D23">
            <v>0</v>
          </cell>
          <cell r="E23">
            <v>2377.98</v>
          </cell>
        </row>
        <row r="24">
          <cell r="A24" t="str">
            <v>TJ202512021613000555164</v>
          </cell>
        </row>
        <row r="24">
          <cell r="C24">
            <v>90166.55</v>
          </cell>
          <cell r="D24">
            <v>0</v>
          </cell>
          <cell r="E24">
            <v>5409.99</v>
          </cell>
        </row>
        <row r="25">
          <cell r="A25" t="str">
            <v>TJ202512021636000598013</v>
          </cell>
        </row>
        <row r="25">
          <cell r="C25">
            <v>13469.15</v>
          </cell>
          <cell r="D25">
            <v>0</v>
          </cell>
          <cell r="E25">
            <v>808.15</v>
          </cell>
        </row>
        <row r="26">
          <cell r="A26" t="str">
            <v>TJ202512021639000011329</v>
          </cell>
        </row>
        <row r="26">
          <cell r="C26">
            <v>118324.94</v>
          </cell>
          <cell r="D26">
            <v>0</v>
          </cell>
          <cell r="E26">
            <v>7099.5</v>
          </cell>
        </row>
        <row r="27">
          <cell r="A27" t="str">
            <v>TJ202512021650000521680</v>
          </cell>
        </row>
        <row r="27">
          <cell r="C27">
            <v>12666.22</v>
          </cell>
          <cell r="D27">
            <v>0</v>
          </cell>
          <cell r="E27">
            <v>759.97</v>
          </cell>
        </row>
        <row r="28">
          <cell r="A28" t="str">
            <v>TJ202512021653000468302</v>
          </cell>
        </row>
        <row r="28">
          <cell r="C28">
            <v>19424.18</v>
          </cell>
          <cell r="D28">
            <v>0</v>
          </cell>
          <cell r="E28">
            <v>1165.45</v>
          </cell>
        </row>
        <row r="29">
          <cell r="A29" t="str">
            <v>TJ202512021654000236881</v>
          </cell>
        </row>
        <row r="29">
          <cell r="C29">
            <v>13932.08</v>
          </cell>
          <cell r="D29">
            <v>0</v>
          </cell>
          <cell r="E29">
            <v>835.92</v>
          </cell>
        </row>
        <row r="30">
          <cell r="A30" t="str">
            <v>TJ202512021655000124061</v>
          </cell>
        </row>
        <row r="30">
          <cell r="C30">
            <v>6132.08</v>
          </cell>
          <cell r="D30">
            <v>0</v>
          </cell>
          <cell r="E30">
            <v>367.92</v>
          </cell>
        </row>
        <row r="31">
          <cell r="A31" t="str">
            <v>TJ202512021655000562923</v>
          </cell>
        </row>
        <row r="31">
          <cell r="C31">
            <v>2497.15</v>
          </cell>
          <cell r="D31">
            <v>0</v>
          </cell>
          <cell r="E31">
            <v>149.83</v>
          </cell>
        </row>
        <row r="32">
          <cell r="A32" t="str">
            <v>TJ202512021749000195269</v>
          </cell>
        </row>
        <row r="32">
          <cell r="C32">
            <v>20572.64</v>
          </cell>
          <cell r="D32">
            <v>0</v>
          </cell>
          <cell r="E32">
            <v>1234.36</v>
          </cell>
        </row>
        <row r="33">
          <cell r="A33" t="str">
            <v>TJ202512031007000000620</v>
          </cell>
        </row>
        <row r="33">
          <cell r="C33">
            <v>227601.17</v>
          </cell>
          <cell r="D33">
            <v>0</v>
          </cell>
          <cell r="E33">
            <v>13656.07</v>
          </cell>
        </row>
        <row r="34">
          <cell r="A34" t="str">
            <v>TJ202512031207000266938</v>
          </cell>
        </row>
        <row r="34">
          <cell r="C34">
            <v>5473.52</v>
          </cell>
          <cell r="D34">
            <v>0</v>
          </cell>
          <cell r="E34">
            <v>328.41</v>
          </cell>
        </row>
        <row r="35">
          <cell r="A35" t="str">
            <v>TJ202512031357000592545</v>
          </cell>
        </row>
        <row r="35">
          <cell r="C35">
            <v>0</v>
          </cell>
          <cell r="D35">
            <v>40870</v>
          </cell>
          <cell r="E35">
            <v>0</v>
          </cell>
        </row>
        <row r="36">
          <cell r="A36" t="str">
            <v>TJ202512031410000212031</v>
          </cell>
        </row>
        <row r="36">
          <cell r="C36">
            <v>2228.57</v>
          </cell>
          <cell r="D36">
            <v>263840.73</v>
          </cell>
          <cell r="E36">
            <v>111.43</v>
          </cell>
        </row>
        <row r="37">
          <cell r="A37" t="str">
            <v>TJ202512031411000228772</v>
          </cell>
        </row>
        <row r="37">
          <cell r="C37">
            <v>35.85</v>
          </cell>
          <cell r="D37">
            <v>0</v>
          </cell>
          <cell r="E37">
            <v>2.15</v>
          </cell>
        </row>
        <row r="38">
          <cell r="A38" t="str">
            <v>TJ202512031527000358276</v>
          </cell>
        </row>
        <row r="38">
          <cell r="C38">
            <v>14639.37</v>
          </cell>
          <cell r="D38">
            <v>0</v>
          </cell>
          <cell r="E38">
            <v>878.36</v>
          </cell>
        </row>
        <row r="39">
          <cell r="A39" t="str">
            <v>TJ202512031546000048920</v>
          </cell>
        </row>
        <row r="39">
          <cell r="C39">
            <v>801132.08</v>
          </cell>
          <cell r="D39">
            <v>0</v>
          </cell>
          <cell r="E39">
            <v>48067.92</v>
          </cell>
        </row>
        <row r="40">
          <cell r="A40" t="str">
            <v>TJ202512031618000265075</v>
          </cell>
        </row>
        <row r="40">
          <cell r="C40">
            <v>350842.08</v>
          </cell>
          <cell r="D40">
            <v>0</v>
          </cell>
          <cell r="E40">
            <v>21050.52</v>
          </cell>
        </row>
        <row r="41">
          <cell r="A41" t="str">
            <v>TJ202512031746000005828</v>
          </cell>
        </row>
        <row r="41">
          <cell r="C41">
            <v>175.36</v>
          </cell>
          <cell r="D41">
            <v>15483.78</v>
          </cell>
          <cell r="E41">
            <v>8.77</v>
          </cell>
        </row>
        <row r="42">
          <cell r="A42" t="str">
            <v>TJ202512032027000073341</v>
          </cell>
        </row>
        <row r="42">
          <cell r="C42">
            <v>342970.46</v>
          </cell>
          <cell r="D42">
            <v>0</v>
          </cell>
          <cell r="E42">
            <v>20578.23</v>
          </cell>
        </row>
        <row r="43">
          <cell r="A43" t="str">
            <v>TJ202512032033000569623</v>
          </cell>
        </row>
        <row r="43">
          <cell r="C43">
            <v>2830.19</v>
          </cell>
          <cell r="D43">
            <v>0</v>
          </cell>
          <cell r="E43">
            <v>169.81</v>
          </cell>
        </row>
        <row r="44">
          <cell r="A44" t="str">
            <v>TJ202512041106000591442</v>
          </cell>
        </row>
        <row r="44">
          <cell r="C44">
            <v>31358.49</v>
          </cell>
          <cell r="D44">
            <v>0</v>
          </cell>
          <cell r="E44">
            <v>1881.51</v>
          </cell>
        </row>
        <row r="45">
          <cell r="A45" t="str">
            <v>TJ202512041108000555761</v>
          </cell>
        </row>
        <row r="45">
          <cell r="C45">
            <v>1262.86</v>
          </cell>
          <cell r="D45">
            <v>922694.92</v>
          </cell>
          <cell r="E45">
            <v>63.14</v>
          </cell>
        </row>
        <row r="46">
          <cell r="A46" t="str">
            <v>TJ202512041109000269378</v>
          </cell>
        </row>
        <row r="46">
          <cell r="C46">
            <v>496539.97</v>
          </cell>
          <cell r="D46">
            <v>0</v>
          </cell>
          <cell r="E46">
            <v>29792.4</v>
          </cell>
        </row>
        <row r="47">
          <cell r="A47" t="str">
            <v>TJ202512041150000191842</v>
          </cell>
        </row>
        <row r="47">
          <cell r="C47">
            <v>33229.98</v>
          </cell>
          <cell r="D47">
            <v>0</v>
          </cell>
          <cell r="E47">
            <v>1993.8</v>
          </cell>
        </row>
        <row r="48">
          <cell r="A48" t="str">
            <v>TJ202512041449000118757</v>
          </cell>
        </row>
        <row r="48">
          <cell r="C48">
            <v>79121.8</v>
          </cell>
          <cell r="D48">
            <v>0</v>
          </cell>
          <cell r="E48">
            <v>4747.31</v>
          </cell>
        </row>
        <row r="49">
          <cell r="A49" t="str">
            <v>TJ202512041457000012958</v>
          </cell>
        </row>
        <row r="49">
          <cell r="C49">
            <v>26277.2</v>
          </cell>
          <cell r="D49">
            <v>0</v>
          </cell>
          <cell r="E49">
            <v>1576.63</v>
          </cell>
        </row>
        <row r="50">
          <cell r="A50" t="str">
            <v>TJ202512041458000435054</v>
          </cell>
        </row>
        <row r="50">
          <cell r="C50">
            <v>68697.25</v>
          </cell>
          <cell r="D50">
            <v>0</v>
          </cell>
          <cell r="E50">
            <v>4121.84</v>
          </cell>
        </row>
        <row r="51">
          <cell r="A51" t="str">
            <v>TJ202512041505000295118</v>
          </cell>
        </row>
        <row r="51">
          <cell r="C51">
            <v>70.75</v>
          </cell>
          <cell r="D51">
            <v>0</v>
          </cell>
          <cell r="E51">
            <v>4.25</v>
          </cell>
        </row>
        <row r="52">
          <cell r="A52" t="str">
            <v>TJ202512041506000079112</v>
          </cell>
        </row>
        <row r="52">
          <cell r="C52">
            <v>488198.87</v>
          </cell>
          <cell r="D52">
            <v>0</v>
          </cell>
          <cell r="E52">
            <v>29291.93</v>
          </cell>
        </row>
        <row r="53">
          <cell r="A53" t="str">
            <v>TJ202512041506000359072</v>
          </cell>
        </row>
        <row r="53">
          <cell r="C53">
            <v>1464113.39</v>
          </cell>
          <cell r="D53">
            <v>0</v>
          </cell>
          <cell r="E53">
            <v>87846.8</v>
          </cell>
        </row>
        <row r="54">
          <cell r="A54" t="str">
            <v>TJ202512041507000523293</v>
          </cell>
        </row>
        <row r="54">
          <cell r="C54">
            <v>7292.12</v>
          </cell>
          <cell r="D54">
            <v>0</v>
          </cell>
          <cell r="E54">
            <v>437.53</v>
          </cell>
        </row>
        <row r="55">
          <cell r="A55" t="str">
            <v>TJ202512041519000546618</v>
          </cell>
        </row>
        <row r="55">
          <cell r="C55">
            <v>2857.14</v>
          </cell>
          <cell r="D55">
            <v>140180.43</v>
          </cell>
          <cell r="E55">
            <v>142.86</v>
          </cell>
        </row>
        <row r="56">
          <cell r="A56" t="str">
            <v>TJ202512041540000452960</v>
          </cell>
        </row>
        <row r="56">
          <cell r="C56">
            <v>449645</v>
          </cell>
          <cell r="D56">
            <v>0</v>
          </cell>
          <cell r="E56">
            <v>26978.7</v>
          </cell>
        </row>
        <row r="57">
          <cell r="A57" t="str">
            <v>TJ202512041556000507999</v>
          </cell>
        </row>
        <row r="57">
          <cell r="C57">
            <v>2357.14</v>
          </cell>
          <cell r="D57">
            <v>7425</v>
          </cell>
          <cell r="E57">
            <v>117.86</v>
          </cell>
        </row>
        <row r="58">
          <cell r="A58" t="str">
            <v>TJ202512041626000319451</v>
          </cell>
        </row>
        <row r="58">
          <cell r="C58">
            <v>16770.13</v>
          </cell>
          <cell r="D58">
            <v>0</v>
          </cell>
          <cell r="E58">
            <v>1006.21</v>
          </cell>
        </row>
        <row r="59">
          <cell r="A59" t="str">
            <v>TJ202512041638000199182</v>
          </cell>
        </row>
        <row r="59">
          <cell r="C59">
            <v>23501.25</v>
          </cell>
          <cell r="D59">
            <v>0</v>
          </cell>
          <cell r="E59">
            <v>1410.08</v>
          </cell>
        </row>
        <row r="60">
          <cell r="A60" t="str">
            <v>TJ202512041649000480465</v>
          </cell>
        </row>
        <row r="60">
          <cell r="C60">
            <v>59187.69</v>
          </cell>
          <cell r="D60">
            <v>0</v>
          </cell>
          <cell r="E60">
            <v>3551.26</v>
          </cell>
        </row>
        <row r="61">
          <cell r="A61" t="str">
            <v>TJ202512041655000002620</v>
          </cell>
        </row>
        <row r="61">
          <cell r="C61">
            <v>161.9</v>
          </cell>
          <cell r="D61">
            <v>83312.25</v>
          </cell>
          <cell r="E61">
            <v>8.1</v>
          </cell>
        </row>
        <row r="62">
          <cell r="A62" t="str">
            <v>TJ202512041718000052225</v>
          </cell>
        </row>
        <row r="62">
          <cell r="C62">
            <v>6621.1</v>
          </cell>
          <cell r="D62">
            <v>82763.76</v>
          </cell>
          <cell r="E62">
            <v>331.05</v>
          </cell>
        </row>
        <row r="63">
          <cell r="A63" t="str">
            <v>TJ202512041924000389047</v>
          </cell>
        </row>
        <row r="63">
          <cell r="C63">
            <v>56601.9</v>
          </cell>
          <cell r="D63">
            <v>542853.5</v>
          </cell>
          <cell r="E63">
            <v>2830.1</v>
          </cell>
        </row>
        <row r="64">
          <cell r="A64" t="str">
            <v>TJ202512051004000014210</v>
          </cell>
        </row>
        <row r="64">
          <cell r="C64">
            <v>291.43</v>
          </cell>
          <cell r="D64">
            <v>213501.2</v>
          </cell>
          <cell r="E64">
            <v>14.57</v>
          </cell>
        </row>
        <row r="65">
          <cell r="A65" t="str">
            <v>TJ202512051207000131422</v>
          </cell>
        </row>
        <row r="65">
          <cell r="C65">
            <v>109901.91</v>
          </cell>
          <cell r="D65">
            <v>0</v>
          </cell>
          <cell r="E65">
            <v>6594.11</v>
          </cell>
        </row>
        <row r="66">
          <cell r="A66" t="str">
            <v>TJ202512051341000185756</v>
          </cell>
        </row>
        <row r="66">
          <cell r="C66">
            <v>47.62</v>
          </cell>
          <cell r="D66">
            <v>10070.39</v>
          </cell>
          <cell r="E66">
            <v>2.38</v>
          </cell>
        </row>
        <row r="67">
          <cell r="A67" t="str">
            <v>TJ202512051343000577561</v>
          </cell>
        </row>
        <row r="67">
          <cell r="C67">
            <v>118355.66</v>
          </cell>
          <cell r="D67">
            <v>0</v>
          </cell>
          <cell r="E67">
            <v>7101.34</v>
          </cell>
        </row>
        <row r="68">
          <cell r="A68" t="str">
            <v>TJ202512051345000256626</v>
          </cell>
        </row>
        <row r="68">
          <cell r="C68">
            <v>29609.2</v>
          </cell>
          <cell r="D68">
            <v>0</v>
          </cell>
          <cell r="E68">
            <v>1776.55</v>
          </cell>
        </row>
        <row r="69">
          <cell r="A69" t="str">
            <v>TJ202512051429000356828</v>
          </cell>
        </row>
        <row r="69">
          <cell r="C69">
            <v>19683.96</v>
          </cell>
          <cell r="D69">
            <v>0</v>
          </cell>
          <cell r="E69">
            <v>1181.04</v>
          </cell>
        </row>
        <row r="70">
          <cell r="A70" t="str">
            <v>TJ202512051434000156643</v>
          </cell>
        </row>
        <row r="70">
          <cell r="C70">
            <v>19683.96</v>
          </cell>
          <cell r="D70">
            <v>0</v>
          </cell>
          <cell r="E70">
            <v>1181.04</v>
          </cell>
        </row>
        <row r="71">
          <cell r="A71" t="str">
            <v>TJ202512051434000235037</v>
          </cell>
        </row>
        <row r="71">
          <cell r="C71">
            <v>3740</v>
          </cell>
          <cell r="D71">
            <v>2109364.01</v>
          </cell>
          <cell r="E71">
            <v>187</v>
          </cell>
        </row>
        <row r="72">
          <cell r="A72" t="str">
            <v>TJ202512051436000061048</v>
          </cell>
        </row>
        <row r="72">
          <cell r="C72">
            <v>19683.96</v>
          </cell>
          <cell r="D72">
            <v>0</v>
          </cell>
          <cell r="E72">
            <v>1181.04</v>
          </cell>
        </row>
        <row r="73">
          <cell r="A73" t="str">
            <v>TJ202512051520000077707</v>
          </cell>
        </row>
        <row r="73">
          <cell r="C73">
            <v>4649.28</v>
          </cell>
          <cell r="D73">
            <v>0</v>
          </cell>
          <cell r="E73">
            <v>278.96</v>
          </cell>
        </row>
        <row r="74">
          <cell r="A74" t="str">
            <v>TJ202512051528000021505</v>
          </cell>
        </row>
        <row r="74">
          <cell r="C74">
            <v>63408.75</v>
          </cell>
          <cell r="D74">
            <v>0</v>
          </cell>
          <cell r="E74">
            <v>3804.53</v>
          </cell>
        </row>
        <row r="75">
          <cell r="A75" t="str">
            <v>TJ202512051533000152147</v>
          </cell>
        </row>
        <row r="75">
          <cell r="C75">
            <v>58239.91</v>
          </cell>
          <cell r="D75">
            <v>0</v>
          </cell>
          <cell r="E75">
            <v>3494.39</v>
          </cell>
        </row>
        <row r="76">
          <cell r="A76" t="str">
            <v>TJ202512051546000108257</v>
          </cell>
        </row>
        <row r="76">
          <cell r="C76">
            <v>10752.52</v>
          </cell>
          <cell r="D76">
            <v>0</v>
          </cell>
          <cell r="E76">
            <v>645.15</v>
          </cell>
        </row>
        <row r="77">
          <cell r="A77" t="str">
            <v>TJ202512051638000450827</v>
          </cell>
        </row>
        <row r="77">
          <cell r="C77">
            <v>6201.34</v>
          </cell>
          <cell r="D77">
            <v>0</v>
          </cell>
          <cell r="E77">
            <v>372.08</v>
          </cell>
        </row>
        <row r="78">
          <cell r="A78" t="str">
            <v>TJ202512051705000129633</v>
          </cell>
        </row>
        <row r="78">
          <cell r="C78">
            <v>44372.19</v>
          </cell>
          <cell r="D78">
            <v>0</v>
          </cell>
          <cell r="E78">
            <v>2662.33</v>
          </cell>
        </row>
        <row r="79">
          <cell r="A79" t="str">
            <v>TJ202512062035000130046</v>
          </cell>
        </row>
        <row r="79">
          <cell r="C79">
            <v>479625.24</v>
          </cell>
          <cell r="D79">
            <v>0</v>
          </cell>
          <cell r="E79">
            <v>28777.53</v>
          </cell>
        </row>
        <row r="80">
          <cell r="A80" t="str">
            <v>TJ202512080958000512038</v>
          </cell>
        </row>
        <row r="80">
          <cell r="C80">
            <v>50488.37</v>
          </cell>
          <cell r="D80">
            <v>0</v>
          </cell>
          <cell r="E80">
            <v>3029.3</v>
          </cell>
        </row>
        <row r="81">
          <cell r="A81" t="str">
            <v>TJ202512081004000336880</v>
          </cell>
        </row>
        <row r="81">
          <cell r="C81">
            <v>309.87</v>
          </cell>
          <cell r="D81">
            <v>6000</v>
          </cell>
          <cell r="E81">
            <v>15.49</v>
          </cell>
        </row>
        <row r="82">
          <cell r="A82" t="str">
            <v>TJ202512081040000217346</v>
          </cell>
        </row>
        <row r="82">
          <cell r="C82">
            <v>76.19</v>
          </cell>
          <cell r="D82">
            <v>13755.36</v>
          </cell>
          <cell r="E82">
            <v>3.81</v>
          </cell>
        </row>
        <row r="83">
          <cell r="A83" t="str">
            <v>TJ202512081154000013734</v>
          </cell>
        </row>
        <row r="83">
          <cell r="C83">
            <v>11120.94</v>
          </cell>
          <cell r="D83">
            <v>0</v>
          </cell>
          <cell r="E83">
            <v>667.26</v>
          </cell>
        </row>
        <row r="84">
          <cell r="A84" t="str">
            <v>TJ202512081215000092361</v>
          </cell>
        </row>
        <row r="84">
          <cell r="C84">
            <v>423.51</v>
          </cell>
          <cell r="D84">
            <v>0</v>
          </cell>
          <cell r="E84">
            <v>25.41</v>
          </cell>
        </row>
        <row r="85">
          <cell r="A85" t="str">
            <v>TJ202512081253000131670</v>
          </cell>
        </row>
        <row r="85">
          <cell r="C85">
            <v>11957.94</v>
          </cell>
          <cell r="D85">
            <v>0</v>
          </cell>
          <cell r="E85">
            <v>717.48</v>
          </cell>
        </row>
        <row r="86">
          <cell r="A86" t="str">
            <v>TJ202512081255000016499</v>
          </cell>
        </row>
        <row r="86">
          <cell r="C86">
            <v>21334.82</v>
          </cell>
          <cell r="D86">
            <v>0</v>
          </cell>
          <cell r="E86">
            <v>1280.09</v>
          </cell>
        </row>
        <row r="87">
          <cell r="A87" t="str">
            <v>TJ202512081258000066546</v>
          </cell>
        </row>
        <row r="87">
          <cell r="C87">
            <v>5067.93</v>
          </cell>
          <cell r="D87">
            <v>0</v>
          </cell>
          <cell r="E87">
            <v>304.08</v>
          </cell>
        </row>
        <row r="88">
          <cell r="A88" t="str">
            <v>TJ202512081258000548378</v>
          </cell>
        </row>
        <row r="88">
          <cell r="C88">
            <v>21394.49</v>
          </cell>
          <cell r="D88">
            <v>0</v>
          </cell>
          <cell r="E88">
            <v>1283.67</v>
          </cell>
        </row>
        <row r="89">
          <cell r="A89" t="str">
            <v>TJ202512081324000225196</v>
          </cell>
        </row>
        <row r="89">
          <cell r="C89">
            <v>279121.7</v>
          </cell>
          <cell r="D89">
            <v>0</v>
          </cell>
          <cell r="E89">
            <v>16747.3</v>
          </cell>
        </row>
        <row r="90">
          <cell r="A90" t="str">
            <v>TJ202512081331000231105</v>
          </cell>
        </row>
        <row r="90">
          <cell r="C90">
            <v>217781.77</v>
          </cell>
          <cell r="D90">
            <v>0</v>
          </cell>
          <cell r="E90">
            <v>13066.91</v>
          </cell>
        </row>
        <row r="91">
          <cell r="A91" t="str">
            <v>TJ202512081346000361440</v>
          </cell>
        </row>
        <row r="91">
          <cell r="C91">
            <v>1859.01</v>
          </cell>
          <cell r="D91">
            <v>0</v>
          </cell>
          <cell r="E91">
            <v>111.54</v>
          </cell>
        </row>
        <row r="92">
          <cell r="A92" t="str">
            <v>TJ202512081404000149666</v>
          </cell>
        </row>
        <row r="92">
          <cell r="C92">
            <v>29476.42</v>
          </cell>
          <cell r="D92">
            <v>0</v>
          </cell>
          <cell r="E92">
            <v>1768.59</v>
          </cell>
        </row>
        <row r="93">
          <cell r="A93" t="str">
            <v>TJ202512081407000571281</v>
          </cell>
        </row>
        <row r="93">
          <cell r="C93">
            <v>36000.85</v>
          </cell>
          <cell r="D93">
            <v>0</v>
          </cell>
          <cell r="E93">
            <v>2160.05</v>
          </cell>
        </row>
        <row r="94">
          <cell r="A94" t="str">
            <v>TJ202512081442000167995</v>
          </cell>
        </row>
        <row r="94">
          <cell r="C94">
            <v>16137.92</v>
          </cell>
          <cell r="D94">
            <v>0</v>
          </cell>
          <cell r="E94">
            <v>968.28</v>
          </cell>
        </row>
        <row r="95">
          <cell r="A95" t="str">
            <v>TJ202512081503000107781</v>
          </cell>
        </row>
        <row r="95">
          <cell r="C95">
            <v>807.55</v>
          </cell>
          <cell r="D95">
            <v>0</v>
          </cell>
          <cell r="E95">
            <v>48.45</v>
          </cell>
        </row>
        <row r="96">
          <cell r="A96" t="str">
            <v>TJ202512081504000504868</v>
          </cell>
        </row>
        <row r="96">
          <cell r="C96">
            <v>35517.8</v>
          </cell>
          <cell r="D96">
            <v>0</v>
          </cell>
          <cell r="E96">
            <v>2131.07</v>
          </cell>
        </row>
        <row r="97">
          <cell r="A97" t="str">
            <v>TJ202512081635000576506</v>
          </cell>
        </row>
        <row r="97">
          <cell r="C97">
            <v>482042.43</v>
          </cell>
          <cell r="D97">
            <v>0</v>
          </cell>
          <cell r="E97">
            <v>28922.55</v>
          </cell>
        </row>
        <row r="98">
          <cell r="A98" t="str">
            <v>TJ202512090906000485493</v>
          </cell>
        </row>
        <row r="98">
          <cell r="C98">
            <v>190.48</v>
          </cell>
          <cell r="D98">
            <v>47854.46</v>
          </cell>
          <cell r="E98">
            <v>9.52</v>
          </cell>
        </row>
        <row r="99">
          <cell r="A99" t="str">
            <v>TJ202512090927000176116</v>
          </cell>
        </row>
        <row r="99">
          <cell r="C99">
            <v>20217.36</v>
          </cell>
          <cell r="D99">
            <v>0</v>
          </cell>
          <cell r="E99">
            <v>1213.04</v>
          </cell>
        </row>
        <row r="100">
          <cell r="A100" t="str">
            <v>TJ202512091019000351050</v>
          </cell>
        </row>
        <row r="100">
          <cell r="C100">
            <v>65133.56</v>
          </cell>
          <cell r="D100">
            <v>0</v>
          </cell>
          <cell r="E100">
            <v>3908.01</v>
          </cell>
        </row>
        <row r="101">
          <cell r="A101" t="str">
            <v>TJ202512091411000372035</v>
          </cell>
        </row>
        <row r="101">
          <cell r="C101">
            <v>20091.9</v>
          </cell>
          <cell r="D101">
            <v>515936.3</v>
          </cell>
          <cell r="E101">
            <v>1004.6</v>
          </cell>
        </row>
        <row r="102">
          <cell r="A102" t="str">
            <v>TJ202512091416000441359</v>
          </cell>
        </row>
        <row r="102">
          <cell r="C102">
            <v>1753757.13</v>
          </cell>
          <cell r="D102">
            <v>0</v>
          </cell>
          <cell r="E102">
            <v>105225.43</v>
          </cell>
        </row>
        <row r="103">
          <cell r="A103" t="str">
            <v>TJ202512091458000352001</v>
          </cell>
        </row>
        <row r="103">
          <cell r="C103">
            <v>500</v>
          </cell>
          <cell r="D103">
            <v>14118.22</v>
          </cell>
          <cell r="E103">
            <v>25</v>
          </cell>
        </row>
        <row r="104">
          <cell r="A104" t="str">
            <v>TJ202512100936000034202</v>
          </cell>
        </row>
        <row r="104">
          <cell r="C104">
            <v>360</v>
          </cell>
          <cell r="D104">
            <v>18205.99</v>
          </cell>
          <cell r="E104">
            <v>18</v>
          </cell>
        </row>
        <row r="105">
          <cell r="A105" t="str">
            <v>TJ202512091635000115968</v>
          </cell>
        </row>
        <row r="105">
          <cell r="C105">
            <v>877421.52</v>
          </cell>
          <cell r="D105">
            <v>0</v>
          </cell>
          <cell r="E105">
            <v>52645.31</v>
          </cell>
        </row>
        <row r="106">
          <cell r="A106" t="str">
            <v>TJ202512091657000426817</v>
          </cell>
        </row>
        <row r="106">
          <cell r="C106">
            <v>571.43</v>
          </cell>
          <cell r="D106">
            <v>188473.25</v>
          </cell>
          <cell r="E106">
            <v>28.57</v>
          </cell>
        </row>
        <row r="107">
          <cell r="A107" t="str">
            <v>TJ202512091657000458293</v>
          </cell>
        </row>
        <row r="107">
          <cell r="C107">
            <v>12570.71</v>
          </cell>
          <cell r="D107">
            <v>0</v>
          </cell>
          <cell r="E107">
            <v>754.24</v>
          </cell>
        </row>
        <row r="108">
          <cell r="A108" t="str">
            <v>TJ202512091658000206088</v>
          </cell>
        </row>
        <row r="108">
          <cell r="C108">
            <v>87981.72</v>
          </cell>
          <cell r="D108">
            <v>0</v>
          </cell>
          <cell r="E108">
            <v>5278.9</v>
          </cell>
        </row>
        <row r="109">
          <cell r="A109" t="str">
            <v>TJ202512091700000341681</v>
          </cell>
        </row>
        <row r="109">
          <cell r="C109">
            <v>190.48</v>
          </cell>
          <cell r="D109">
            <v>53309.12</v>
          </cell>
          <cell r="E109">
            <v>9.52</v>
          </cell>
        </row>
        <row r="110">
          <cell r="A110" t="str">
            <v>TJ202512091830000181046</v>
          </cell>
        </row>
        <row r="110">
          <cell r="C110">
            <v>5509.07</v>
          </cell>
          <cell r="D110">
            <v>189592.98</v>
          </cell>
          <cell r="E110">
            <v>275.45</v>
          </cell>
        </row>
        <row r="111">
          <cell r="A111" t="str">
            <v>TJ202512092041000468874</v>
          </cell>
        </row>
        <row r="111">
          <cell r="C111">
            <v>5455602.86</v>
          </cell>
          <cell r="D111">
            <v>0</v>
          </cell>
          <cell r="E111">
            <v>327336.17</v>
          </cell>
        </row>
        <row r="112">
          <cell r="A112" t="str">
            <v>TJ202512100912000343420</v>
          </cell>
        </row>
        <row r="112">
          <cell r="C112">
            <v>0</v>
          </cell>
          <cell r="D112">
            <v>10846.1</v>
          </cell>
          <cell r="E112">
            <v>0</v>
          </cell>
        </row>
        <row r="113">
          <cell r="A113" t="str">
            <v>TJ202512100914000358917</v>
          </cell>
        </row>
        <row r="113">
          <cell r="C113">
            <v>0</v>
          </cell>
          <cell r="D113">
            <v>11008.09</v>
          </cell>
          <cell r="E113">
            <v>0</v>
          </cell>
        </row>
        <row r="114">
          <cell r="A114" t="str">
            <v>TJ202512101056000224477</v>
          </cell>
        </row>
        <row r="114">
          <cell r="C114">
            <v>716019.24</v>
          </cell>
          <cell r="D114">
            <v>0</v>
          </cell>
          <cell r="E114">
            <v>42961.15</v>
          </cell>
        </row>
        <row r="115">
          <cell r="A115" t="str">
            <v>TJ202512101056000329624</v>
          </cell>
        </row>
        <row r="115">
          <cell r="C115">
            <v>800</v>
          </cell>
          <cell r="D115">
            <v>51151.81</v>
          </cell>
          <cell r="E115">
            <v>40</v>
          </cell>
        </row>
        <row r="116">
          <cell r="A116" t="str">
            <v>TJ202512101104000430040</v>
          </cell>
        </row>
        <row r="116">
          <cell r="C116">
            <v>12057.14</v>
          </cell>
          <cell r="D116">
            <v>343126.36</v>
          </cell>
          <cell r="E116">
            <v>602.86</v>
          </cell>
        </row>
        <row r="117">
          <cell r="A117" t="str">
            <v>TJ202512101122000215496</v>
          </cell>
        </row>
        <row r="117">
          <cell r="C117">
            <v>0</v>
          </cell>
          <cell r="D117">
            <v>11467.7</v>
          </cell>
          <cell r="E117">
            <v>0</v>
          </cell>
        </row>
        <row r="118">
          <cell r="A118" t="str">
            <v>TJ202512101346000339652</v>
          </cell>
        </row>
        <row r="118">
          <cell r="C118">
            <v>17860.96</v>
          </cell>
          <cell r="D118">
            <v>0</v>
          </cell>
          <cell r="E118">
            <v>1071.66</v>
          </cell>
        </row>
        <row r="119">
          <cell r="A119" t="str">
            <v>TJ202512101415000202770</v>
          </cell>
        </row>
        <row r="119">
          <cell r="C119">
            <v>34615.31</v>
          </cell>
          <cell r="D119">
            <v>0</v>
          </cell>
          <cell r="E119">
            <v>2076.92</v>
          </cell>
        </row>
        <row r="120">
          <cell r="A120" t="str">
            <v>TJ202512101520000068179</v>
          </cell>
        </row>
        <row r="120">
          <cell r="C120">
            <v>259.43</v>
          </cell>
          <cell r="D120">
            <v>117136.35</v>
          </cell>
          <cell r="E120">
            <v>15.57</v>
          </cell>
        </row>
        <row r="121">
          <cell r="A121" t="str">
            <v>TJ202512101527000472055</v>
          </cell>
        </row>
        <row r="121">
          <cell r="C121">
            <v>5849.06</v>
          </cell>
          <cell r="D121">
            <v>1462604.07</v>
          </cell>
          <cell r="E121">
            <v>350.94</v>
          </cell>
        </row>
        <row r="122">
          <cell r="A122" t="str">
            <v>TJ202512101542000268010</v>
          </cell>
        </row>
        <row r="122">
          <cell r="C122">
            <v>2480</v>
          </cell>
          <cell r="D122">
            <v>473734.95</v>
          </cell>
          <cell r="E122">
            <v>124</v>
          </cell>
        </row>
        <row r="123">
          <cell r="A123" t="str">
            <v>TJ202512101632000336281</v>
          </cell>
        </row>
        <row r="123">
          <cell r="C123">
            <v>1286568.85</v>
          </cell>
          <cell r="D123">
            <v>0</v>
          </cell>
          <cell r="E123">
            <v>77194.13</v>
          </cell>
        </row>
        <row r="124">
          <cell r="A124" t="str">
            <v>TJ202512101656000323655</v>
          </cell>
        </row>
        <row r="124">
          <cell r="C124">
            <v>25391.07</v>
          </cell>
          <cell r="D124">
            <v>0</v>
          </cell>
          <cell r="E124">
            <v>1523.46</v>
          </cell>
        </row>
        <row r="125">
          <cell r="A125" t="str">
            <v>TJ202512101756000575648</v>
          </cell>
        </row>
        <row r="125">
          <cell r="C125">
            <v>52760.18</v>
          </cell>
          <cell r="D125">
            <v>0</v>
          </cell>
          <cell r="E125">
            <v>3165.61</v>
          </cell>
        </row>
        <row r="126">
          <cell r="A126" t="str">
            <v>TJ202512101806000408606</v>
          </cell>
        </row>
        <row r="126">
          <cell r="C126">
            <v>1666821.95</v>
          </cell>
          <cell r="D126">
            <v>0</v>
          </cell>
          <cell r="E126">
            <v>100009.32</v>
          </cell>
        </row>
        <row r="127">
          <cell r="A127" t="str">
            <v>TJ202512102319000270323</v>
          </cell>
        </row>
        <row r="127">
          <cell r="C127">
            <v>3233.33</v>
          </cell>
          <cell r="D127">
            <v>1388805.4</v>
          </cell>
          <cell r="E127">
            <v>161.67</v>
          </cell>
        </row>
        <row r="128">
          <cell r="A128" t="str">
            <v>TJ202512102329000567909</v>
          </cell>
        </row>
        <row r="128">
          <cell r="C128">
            <v>3704.76</v>
          </cell>
          <cell r="D128">
            <v>1054385.74</v>
          </cell>
          <cell r="E128">
            <v>185.24</v>
          </cell>
        </row>
        <row r="129">
          <cell r="A129" t="str">
            <v>TJ202512111121000533537</v>
          </cell>
        </row>
        <row r="129">
          <cell r="C129">
            <v>75442.26</v>
          </cell>
          <cell r="D129">
            <v>0</v>
          </cell>
          <cell r="E129">
            <v>4526.54</v>
          </cell>
        </row>
        <row r="130">
          <cell r="A130" t="str">
            <v>TJ202512111405000561636</v>
          </cell>
        </row>
        <row r="130">
          <cell r="C130">
            <v>0</v>
          </cell>
          <cell r="D130">
            <v>807.69</v>
          </cell>
          <cell r="E130">
            <v>0</v>
          </cell>
        </row>
        <row r="131">
          <cell r="A131" t="str">
            <v>TJ202512111635000160076</v>
          </cell>
        </row>
        <row r="131">
          <cell r="C131">
            <v>254381.22</v>
          </cell>
          <cell r="D131">
            <v>0</v>
          </cell>
          <cell r="E131">
            <v>15262.88</v>
          </cell>
        </row>
        <row r="132">
          <cell r="A132" t="str">
            <v>TJ202512111643000460691</v>
          </cell>
        </row>
        <row r="132">
          <cell r="C132">
            <v>190226.97</v>
          </cell>
          <cell r="D132">
            <v>0</v>
          </cell>
          <cell r="E132">
            <v>11413.62</v>
          </cell>
        </row>
        <row r="133">
          <cell r="A133" t="str">
            <v>TJ202512111652000587110</v>
          </cell>
        </row>
        <row r="133">
          <cell r="C133">
            <v>822883.46</v>
          </cell>
          <cell r="D133">
            <v>0</v>
          </cell>
          <cell r="E133">
            <v>49372.99</v>
          </cell>
        </row>
        <row r="134">
          <cell r="A134" t="str">
            <v>TJ202512120934000310055</v>
          </cell>
        </row>
        <row r="134">
          <cell r="C134">
            <v>23.81</v>
          </cell>
          <cell r="D134">
            <v>1950.27</v>
          </cell>
          <cell r="E134">
            <v>1.19</v>
          </cell>
        </row>
        <row r="135">
          <cell r="A135" t="str">
            <v>TJ202512121030000288552</v>
          </cell>
        </row>
        <row r="135">
          <cell r="C135">
            <v>1028.57</v>
          </cell>
          <cell r="D135">
            <v>36331.23</v>
          </cell>
          <cell r="E135">
            <v>51.43</v>
          </cell>
        </row>
        <row r="136">
          <cell r="A136" t="str">
            <v>TJ202512121247000364287</v>
          </cell>
        </row>
        <row r="136">
          <cell r="C136">
            <v>9919.51</v>
          </cell>
          <cell r="D136">
            <v>0</v>
          </cell>
          <cell r="E136">
            <v>595.17</v>
          </cell>
        </row>
        <row r="137">
          <cell r="A137" t="str">
            <v>TJ202512121248000408743</v>
          </cell>
        </row>
        <row r="137">
          <cell r="C137">
            <v>666.59</v>
          </cell>
          <cell r="D137">
            <v>0</v>
          </cell>
          <cell r="E137">
            <v>40</v>
          </cell>
        </row>
        <row r="138">
          <cell r="A138" t="str">
            <v>TJ202512121353000139972</v>
          </cell>
        </row>
        <row r="138">
          <cell r="C138">
            <v>241864.55</v>
          </cell>
          <cell r="D138">
            <v>0</v>
          </cell>
          <cell r="E138">
            <v>14511.88</v>
          </cell>
        </row>
        <row r="139">
          <cell r="A139" t="str">
            <v>TJ202512121411000530566</v>
          </cell>
        </row>
        <row r="139">
          <cell r="C139">
            <v>35.85</v>
          </cell>
          <cell r="D139">
            <v>0</v>
          </cell>
          <cell r="E139">
            <v>2.15</v>
          </cell>
        </row>
        <row r="140">
          <cell r="A140" t="str">
            <v>TJ202512121415000013268</v>
          </cell>
        </row>
        <row r="140">
          <cell r="C140">
            <v>2228.57</v>
          </cell>
          <cell r="D140">
            <v>305628.13</v>
          </cell>
          <cell r="E140">
            <v>111.43</v>
          </cell>
        </row>
        <row r="141">
          <cell r="A141" t="str">
            <v>TJ202512121417000538883</v>
          </cell>
        </row>
        <row r="141">
          <cell r="C141">
            <v>0</v>
          </cell>
          <cell r="D141">
            <v>12935</v>
          </cell>
          <cell r="E141">
            <v>0</v>
          </cell>
        </row>
        <row r="142">
          <cell r="A142" t="str">
            <v>TJ202512121423000163463</v>
          </cell>
        </row>
        <row r="142">
          <cell r="C142">
            <v>23912.45</v>
          </cell>
          <cell r="D142">
            <v>0</v>
          </cell>
          <cell r="E142">
            <v>1434.75</v>
          </cell>
        </row>
        <row r="143">
          <cell r="A143" t="str">
            <v>TJ202512121423000291717</v>
          </cell>
        </row>
        <row r="143">
          <cell r="C143">
            <v>175754.72</v>
          </cell>
          <cell r="D143">
            <v>0</v>
          </cell>
          <cell r="E143">
            <v>10545.28</v>
          </cell>
        </row>
        <row r="144">
          <cell r="A144" t="str">
            <v>TJ202512121424000408115</v>
          </cell>
        </row>
        <row r="144">
          <cell r="C144">
            <v>9001.7</v>
          </cell>
          <cell r="D144">
            <v>0</v>
          </cell>
          <cell r="E144">
            <v>540.1</v>
          </cell>
        </row>
        <row r="145">
          <cell r="A145" t="str">
            <v>TJ202512121443000017015</v>
          </cell>
        </row>
        <row r="145">
          <cell r="C145">
            <v>342.86</v>
          </cell>
          <cell r="D145">
            <v>32292.69</v>
          </cell>
          <cell r="E145">
            <v>17.14</v>
          </cell>
        </row>
        <row r="146">
          <cell r="A146" t="str">
            <v>TJ202512121619000172710</v>
          </cell>
        </row>
        <row r="146">
          <cell r="C146">
            <v>208552.38</v>
          </cell>
          <cell r="D146">
            <v>714046.82</v>
          </cell>
          <cell r="E146">
            <v>10427.62</v>
          </cell>
        </row>
        <row r="147">
          <cell r="A147" t="str">
            <v>TJ202512121628000152102</v>
          </cell>
        </row>
        <row r="147">
          <cell r="C147">
            <v>404715.06</v>
          </cell>
          <cell r="D147">
            <v>0</v>
          </cell>
          <cell r="E147">
            <v>24282.9</v>
          </cell>
        </row>
        <row r="148">
          <cell r="A148" t="str">
            <v>TJ202512121632000053587</v>
          </cell>
        </row>
        <row r="148">
          <cell r="C148">
            <v>914.29</v>
          </cell>
          <cell r="D148">
            <v>144110.64</v>
          </cell>
          <cell r="E148">
            <v>45.71</v>
          </cell>
        </row>
        <row r="149">
          <cell r="A149" t="str">
            <v>TJ202512121654000163545</v>
          </cell>
        </row>
        <row r="149">
          <cell r="C149">
            <v>91101.41</v>
          </cell>
          <cell r="D149">
            <v>0</v>
          </cell>
          <cell r="E149">
            <v>5466.08</v>
          </cell>
        </row>
        <row r="150">
          <cell r="A150" t="str">
            <v>TJ202512121712000269336</v>
          </cell>
        </row>
        <row r="150">
          <cell r="C150">
            <v>407807.85</v>
          </cell>
          <cell r="D150">
            <v>1354690.04</v>
          </cell>
          <cell r="E150">
            <v>20390.39</v>
          </cell>
        </row>
        <row r="151">
          <cell r="A151" t="str">
            <v>TJ202512121719000240023</v>
          </cell>
        </row>
        <row r="151">
          <cell r="C151">
            <v>619.05</v>
          </cell>
          <cell r="D151">
            <v>80596.64</v>
          </cell>
          <cell r="E151">
            <v>30.95</v>
          </cell>
        </row>
        <row r="152">
          <cell r="A152" t="str">
            <v>TJ202512121720000412017</v>
          </cell>
        </row>
        <row r="152">
          <cell r="C152">
            <v>35.85</v>
          </cell>
          <cell r="D152">
            <v>0</v>
          </cell>
          <cell r="E152">
            <v>2.15</v>
          </cell>
        </row>
        <row r="153">
          <cell r="A153" t="str">
            <v>TJ202512121739000248117</v>
          </cell>
        </row>
        <row r="153">
          <cell r="C153">
            <v>57176.15</v>
          </cell>
          <cell r="D153">
            <v>0</v>
          </cell>
          <cell r="E153">
            <v>3430.57</v>
          </cell>
        </row>
        <row r="154">
          <cell r="A154" t="str">
            <v>TJ202512121740000232540</v>
          </cell>
        </row>
        <row r="154">
          <cell r="C154">
            <v>72592.9</v>
          </cell>
          <cell r="D154">
            <v>0</v>
          </cell>
          <cell r="E154">
            <v>4355.57</v>
          </cell>
        </row>
        <row r="155">
          <cell r="A155" t="str">
            <v>TJ202512121832000366683</v>
          </cell>
        </row>
        <row r="155">
          <cell r="C155">
            <v>15849.06</v>
          </cell>
          <cell r="D155">
            <v>0</v>
          </cell>
          <cell r="E155">
            <v>950.94</v>
          </cell>
        </row>
        <row r="156">
          <cell r="A156" t="str">
            <v>TJ202512121835000135231</v>
          </cell>
        </row>
        <row r="156">
          <cell r="C156">
            <v>234114.52</v>
          </cell>
          <cell r="D156">
            <v>1165025.46</v>
          </cell>
          <cell r="E156">
            <v>11705.73</v>
          </cell>
        </row>
        <row r="157">
          <cell r="A157" t="str">
            <v>TJ202512121857000332930</v>
          </cell>
        </row>
        <row r="157">
          <cell r="C157">
            <v>572074.63</v>
          </cell>
          <cell r="D157">
            <v>0</v>
          </cell>
          <cell r="E157">
            <v>34324.48</v>
          </cell>
        </row>
        <row r="158">
          <cell r="A158" t="str">
            <v>TJ202512141813000589273</v>
          </cell>
        </row>
        <row r="158">
          <cell r="C158">
            <v>83852.99</v>
          </cell>
          <cell r="D158">
            <v>0</v>
          </cell>
          <cell r="E158">
            <v>5031.18</v>
          </cell>
        </row>
        <row r="159">
          <cell r="A159" t="str">
            <v>TJ202512141814000488242</v>
          </cell>
        </row>
        <row r="159">
          <cell r="C159">
            <v>6709.56</v>
          </cell>
          <cell r="D159">
            <v>0</v>
          </cell>
          <cell r="E159">
            <v>402.57</v>
          </cell>
        </row>
        <row r="160">
          <cell r="A160" t="str">
            <v>TJ202512141815000392478</v>
          </cell>
        </row>
        <row r="160">
          <cell r="C160">
            <v>13866.2</v>
          </cell>
          <cell r="D160">
            <v>0</v>
          </cell>
          <cell r="E160">
            <v>831.97</v>
          </cell>
        </row>
        <row r="161">
          <cell r="A161" t="str">
            <v>TJ202512141816000286605</v>
          </cell>
        </row>
        <row r="161">
          <cell r="C161">
            <v>10390.68</v>
          </cell>
          <cell r="D161">
            <v>0</v>
          </cell>
          <cell r="E161">
            <v>623.44</v>
          </cell>
        </row>
        <row r="162">
          <cell r="A162" t="str">
            <v>TJ202512141817000148846</v>
          </cell>
        </row>
        <row r="162">
          <cell r="C162">
            <v>23926.32</v>
          </cell>
          <cell r="D162">
            <v>0</v>
          </cell>
          <cell r="E162">
            <v>1435.58</v>
          </cell>
        </row>
        <row r="163">
          <cell r="A163" t="str">
            <v>TJ202512141818000052694</v>
          </cell>
        </row>
        <row r="163">
          <cell r="C163">
            <v>30999.06</v>
          </cell>
          <cell r="D163">
            <v>0</v>
          </cell>
          <cell r="E163">
            <v>1859.94</v>
          </cell>
        </row>
        <row r="164">
          <cell r="A164" t="str">
            <v>TJ202512141818000473537</v>
          </cell>
        </row>
        <row r="164">
          <cell r="C164">
            <v>370159.4</v>
          </cell>
          <cell r="D164">
            <v>0</v>
          </cell>
          <cell r="E164">
            <v>22209.56</v>
          </cell>
        </row>
        <row r="165">
          <cell r="A165" t="str">
            <v>TJ202512150221000164028</v>
          </cell>
        </row>
        <row r="165">
          <cell r="C165">
            <v>20511081.05</v>
          </cell>
          <cell r="D165">
            <v>0</v>
          </cell>
          <cell r="E165">
            <v>1230664.85</v>
          </cell>
        </row>
        <row r="166">
          <cell r="A166" t="str">
            <v>TJ202512150912000327552</v>
          </cell>
        </row>
        <row r="166">
          <cell r="C166">
            <v>495.24</v>
          </cell>
          <cell r="D166">
            <v>73342.97</v>
          </cell>
          <cell r="E166">
            <v>24.76</v>
          </cell>
        </row>
        <row r="167">
          <cell r="A167" t="str">
            <v>TJ202512150914000159931</v>
          </cell>
        </row>
        <row r="167">
          <cell r="C167">
            <v>803197.56</v>
          </cell>
          <cell r="D167">
            <v>0</v>
          </cell>
          <cell r="E167">
            <v>48191.85</v>
          </cell>
        </row>
        <row r="168">
          <cell r="A168" t="str">
            <v>TJ202512150958000358986</v>
          </cell>
        </row>
        <row r="168">
          <cell r="C168">
            <v>67261.88</v>
          </cell>
          <cell r="D168">
            <v>0</v>
          </cell>
          <cell r="E168">
            <v>4035.71</v>
          </cell>
        </row>
        <row r="169">
          <cell r="A169" t="str">
            <v>TJ202512151002000510886</v>
          </cell>
        </row>
        <row r="169">
          <cell r="C169">
            <v>852788.04</v>
          </cell>
          <cell r="D169">
            <v>0</v>
          </cell>
          <cell r="E169">
            <v>51167.28</v>
          </cell>
        </row>
        <row r="170">
          <cell r="A170" t="str">
            <v>TJ202512151003000526286</v>
          </cell>
        </row>
        <row r="170">
          <cell r="C170">
            <v>1285513.2</v>
          </cell>
          <cell r="D170">
            <v>0</v>
          </cell>
          <cell r="E170">
            <v>77130.79</v>
          </cell>
        </row>
        <row r="171">
          <cell r="A171" t="str">
            <v>TJ202512151007000229232</v>
          </cell>
        </row>
        <row r="171">
          <cell r="C171">
            <v>547.17</v>
          </cell>
          <cell r="D171">
            <v>0</v>
          </cell>
          <cell r="E171">
            <v>32.83</v>
          </cell>
        </row>
        <row r="172">
          <cell r="A172" t="str">
            <v>TJ202512151007000563070</v>
          </cell>
        </row>
        <row r="172">
          <cell r="C172">
            <v>273.58</v>
          </cell>
          <cell r="D172">
            <v>0</v>
          </cell>
          <cell r="E172">
            <v>16.42</v>
          </cell>
        </row>
        <row r="173">
          <cell r="A173" t="str">
            <v>TJ202512151009000232370</v>
          </cell>
        </row>
        <row r="173">
          <cell r="C173">
            <v>762339.96</v>
          </cell>
          <cell r="D173">
            <v>0</v>
          </cell>
          <cell r="E173">
            <v>45740.4</v>
          </cell>
        </row>
        <row r="174">
          <cell r="A174" t="str">
            <v>TJ202512151009000557643</v>
          </cell>
        </row>
        <row r="174">
          <cell r="C174">
            <v>47.62</v>
          </cell>
          <cell r="D174">
            <v>3983.64</v>
          </cell>
          <cell r="E174">
            <v>2.38</v>
          </cell>
        </row>
        <row r="175">
          <cell r="A175" t="str">
            <v>TJ202512151010000318692</v>
          </cell>
        </row>
        <row r="175">
          <cell r="C175">
            <v>668446.07</v>
          </cell>
          <cell r="D175">
            <v>0</v>
          </cell>
          <cell r="E175">
            <v>40106.76</v>
          </cell>
        </row>
        <row r="176">
          <cell r="A176" t="str">
            <v>TJ202512151011000372454</v>
          </cell>
        </row>
        <row r="176">
          <cell r="C176">
            <v>74164.51</v>
          </cell>
          <cell r="D176">
            <v>0</v>
          </cell>
          <cell r="E176">
            <v>4449.87</v>
          </cell>
        </row>
        <row r="177">
          <cell r="A177" t="str">
            <v>TJ202512151013000599833</v>
          </cell>
        </row>
        <row r="177">
          <cell r="C177">
            <v>234423.79</v>
          </cell>
          <cell r="D177">
            <v>0</v>
          </cell>
          <cell r="E177">
            <v>14065.43</v>
          </cell>
        </row>
        <row r="178">
          <cell r="A178" t="str">
            <v>TJ202512151015000017325</v>
          </cell>
        </row>
        <row r="178">
          <cell r="C178">
            <v>114576.91</v>
          </cell>
          <cell r="D178">
            <v>0</v>
          </cell>
          <cell r="E178">
            <v>6874.61</v>
          </cell>
        </row>
        <row r="179">
          <cell r="A179" t="str">
            <v>TJ202512151015000598141</v>
          </cell>
        </row>
        <row r="179">
          <cell r="C179">
            <v>377203</v>
          </cell>
          <cell r="D179">
            <v>0</v>
          </cell>
          <cell r="E179">
            <v>22632.18</v>
          </cell>
        </row>
        <row r="180">
          <cell r="A180" t="str">
            <v>TJ202512151102000063377</v>
          </cell>
        </row>
        <row r="180">
          <cell r="C180">
            <v>96754.28</v>
          </cell>
          <cell r="D180">
            <v>0</v>
          </cell>
          <cell r="E180">
            <v>4837.72</v>
          </cell>
        </row>
        <row r="181">
          <cell r="A181" t="str">
            <v>TJ202512151128000055578</v>
          </cell>
        </row>
        <row r="181">
          <cell r="C181">
            <v>107154.01</v>
          </cell>
          <cell r="D181">
            <v>0</v>
          </cell>
          <cell r="E181">
            <v>6429.24</v>
          </cell>
        </row>
        <row r="182">
          <cell r="A182" t="str">
            <v>TJ202512151217000097985</v>
          </cell>
        </row>
        <row r="182">
          <cell r="C182">
            <v>126717.43</v>
          </cell>
          <cell r="D182">
            <v>0</v>
          </cell>
          <cell r="E182">
            <v>7603.05</v>
          </cell>
        </row>
        <row r="183">
          <cell r="A183" t="str">
            <v>TJ202512151341000289784</v>
          </cell>
        </row>
        <row r="183">
          <cell r="C183">
            <v>380.95</v>
          </cell>
          <cell r="D183">
            <v>24329.9</v>
          </cell>
          <cell r="E183">
            <v>19.05</v>
          </cell>
        </row>
        <row r="184">
          <cell r="A184" t="str">
            <v>TJ202512151350000059238</v>
          </cell>
        </row>
        <row r="184">
          <cell r="C184">
            <v>4878.72</v>
          </cell>
          <cell r="D184">
            <v>0</v>
          </cell>
          <cell r="E184">
            <v>292.72</v>
          </cell>
        </row>
        <row r="185">
          <cell r="A185" t="str">
            <v>TJ202512151351000270330</v>
          </cell>
        </row>
        <row r="185">
          <cell r="C185">
            <v>12734.92</v>
          </cell>
          <cell r="D185">
            <v>0</v>
          </cell>
          <cell r="E185">
            <v>764.09</v>
          </cell>
        </row>
        <row r="186">
          <cell r="A186" t="str">
            <v>TJ202512151359000401682</v>
          </cell>
        </row>
        <row r="186">
          <cell r="C186">
            <v>1938867.92</v>
          </cell>
          <cell r="D186">
            <v>0</v>
          </cell>
          <cell r="E186">
            <v>116332.08</v>
          </cell>
        </row>
        <row r="187">
          <cell r="A187" t="str">
            <v>TJ202512151405000021056</v>
          </cell>
        </row>
        <row r="187">
          <cell r="C187">
            <v>23808</v>
          </cell>
          <cell r="D187">
            <v>0</v>
          </cell>
          <cell r="E187">
            <v>1428.48</v>
          </cell>
        </row>
        <row r="188">
          <cell r="A188" t="str">
            <v>TJ202512151414000420421</v>
          </cell>
        </row>
        <row r="188">
          <cell r="C188">
            <v>57.14</v>
          </cell>
          <cell r="D188">
            <v>4458.96</v>
          </cell>
          <cell r="E188">
            <v>2.86</v>
          </cell>
        </row>
        <row r="189">
          <cell r="A189" t="str">
            <v>TJ202512151433000561023</v>
          </cell>
        </row>
        <row r="189">
          <cell r="C189">
            <v>171.43</v>
          </cell>
          <cell r="D189">
            <v>14041.38</v>
          </cell>
          <cell r="E189">
            <v>8.57</v>
          </cell>
        </row>
        <row r="190">
          <cell r="A190" t="str">
            <v>TJ202512151521000103263</v>
          </cell>
        </row>
        <row r="190">
          <cell r="C190">
            <v>3428.57</v>
          </cell>
          <cell r="D190">
            <v>540189.14</v>
          </cell>
          <cell r="E190">
            <v>171.43</v>
          </cell>
        </row>
        <row r="191">
          <cell r="A191" t="str">
            <v>TJ202512151522000402482</v>
          </cell>
        </row>
        <row r="191">
          <cell r="C191">
            <v>90.57</v>
          </cell>
          <cell r="D191">
            <v>0</v>
          </cell>
          <cell r="E191">
            <v>5.43</v>
          </cell>
        </row>
        <row r="192">
          <cell r="A192" t="str">
            <v>TJ202512151613000152322</v>
          </cell>
        </row>
        <row r="192">
          <cell r="C192">
            <v>25024.89</v>
          </cell>
          <cell r="D192">
            <v>0</v>
          </cell>
          <cell r="E192">
            <v>1501.49</v>
          </cell>
        </row>
        <row r="193">
          <cell r="A193" t="str">
            <v>TJ202512151623000190910</v>
          </cell>
        </row>
        <row r="193">
          <cell r="C193">
            <v>447507.79</v>
          </cell>
          <cell r="D193">
            <v>0</v>
          </cell>
          <cell r="E193">
            <v>26850.46</v>
          </cell>
        </row>
        <row r="194">
          <cell r="A194" t="str">
            <v>TJ202512151624000091946</v>
          </cell>
        </row>
        <row r="194">
          <cell r="C194">
            <v>33266.66</v>
          </cell>
          <cell r="D194">
            <v>0</v>
          </cell>
          <cell r="E194">
            <v>1995.99</v>
          </cell>
        </row>
        <row r="195">
          <cell r="A195" t="str">
            <v>TJ202512151639000099653</v>
          </cell>
        </row>
        <row r="195">
          <cell r="C195">
            <v>16230.56</v>
          </cell>
          <cell r="D195">
            <v>0</v>
          </cell>
          <cell r="E195">
            <v>973.84</v>
          </cell>
        </row>
        <row r="196">
          <cell r="A196" t="str">
            <v>TJ202512151719000512166</v>
          </cell>
        </row>
        <row r="196">
          <cell r="C196">
            <v>22112.6</v>
          </cell>
          <cell r="D196">
            <v>0</v>
          </cell>
          <cell r="E196">
            <v>1326.76</v>
          </cell>
        </row>
        <row r="197">
          <cell r="A197" t="str">
            <v>TJ202512151722000103939</v>
          </cell>
        </row>
        <row r="197">
          <cell r="C197">
            <v>50288.4</v>
          </cell>
          <cell r="D197">
            <v>0</v>
          </cell>
          <cell r="E197">
            <v>3017.3</v>
          </cell>
        </row>
        <row r="198">
          <cell r="A198" t="str">
            <v>TJ202512151930000327255</v>
          </cell>
        </row>
        <row r="198">
          <cell r="C198">
            <v>254495.47</v>
          </cell>
          <cell r="D198">
            <v>0</v>
          </cell>
          <cell r="E198">
            <v>15269.72</v>
          </cell>
        </row>
        <row r="199">
          <cell r="A199" t="str">
            <v>TJ202512151930000434425</v>
          </cell>
        </row>
        <row r="199">
          <cell r="C199">
            <v>2443.83</v>
          </cell>
          <cell r="D199">
            <v>45577.55</v>
          </cell>
          <cell r="E199">
            <v>122.19</v>
          </cell>
        </row>
        <row r="200">
          <cell r="A200" t="str">
            <v>TJ202512151932000038870</v>
          </cell>
        </row>
        <row r="200">
          <cell r="C200">
            <v>18177.19</v>
          </cell>
          <cell r="D200">
            <v>292011.65</v>
          </cell>
          <cell r="E200">
            <v>908.86</v>
          </cell>
        </row>
        <row r="201">
          <cell r="A201" t="str">
            <v>TJ202512161043000008328</v>
          </cell>
        </row>
        <row r="201">
          <cell r="C201">
            <v>119.05</v>
          </cell>
          <cell r="D201">
            <v>0</v>
          </cell>
          <cell r="E201">
            <v>5.95</v>
          </cell>
        </row>
        <row r="202">
          <cell r="A202" t="str">
            <v>TJ202512161109000542210</v>
          </cell>
        </row>
        <row r="202">
          <cell r="C202">
            <v>28554.72</v>
          </cell>
          <cell r="D202">
            <v>0</v>
          </cell>
          <cell r="E202">
            <v>1713.28</v>
          </cell>
        </row>
        <row r="203">
          <cell r="A203" t="str">
            <v>TJ202512161241000488781</v>
          </cell>
        </row>
        <row r="203">
          <cell r="C203">
            <v>9877.36</v>
          </cell>
          <cell r="D203">
            <v>0</v>
          </cell>
          <cell r="E203">
            <v>592.64</v>
          </cell>
        </row>
        <row r="204">
          <cell r="A204" t="str">
            <v>TJ202512161348000117877</v>
          </cell>
        </row>
        <row r="204">
          <cell r="C204">
            <v>176623.51</v>
          </cell>
          <cell r="D204">
            <v>0</v>
          </cell>
          <cell r="E204">
            <v>10597.41</v>
          </cell>
        </row>
        <row r="205">
          <cell r="A205" t="str">
            <v>TJ202512161351000061263</v>
          </cell>
        </row>
        <row r="205">
          <cell r="C205">
            <v>397287.11</v>
          </cell>
          <cell r="D205">
            <v>0</v>
          </cell>
          <cell r="E205">
            <v>23837.23</v>
          </cell>
        </row>
        <row r="206">
          <cell r="A206" t="str">
            <v>TJ202512161352000002857</v>
          </cell>
        </row>
        <row r="206">
          <cell r="C206">
            <v>455540.53</v>
          </cell>
          <cell r="D206">
            <v>0</v>
          </cell>
          <cell r="E206">
            <v>27332.43</v>
          </cell>
        </row>
        <row r="207">
          <cell r="A207" t="str">
            <v>TJ202512161408000411726</v>
          </cell>
        </row>
        <row r="207">
          <cell r="C207">
            <v>47830.62</v>
          </cell>
          <cell r="D207">
            <v>0</v>
          </cell>
          <cell r="E207">
            <v>2869.84</v>
          </cell>
        </row>
        <row r="208">
          <cell r="A208" t="str">
            <v>TJ202512161411000145485</v>
          </cell>
        </row>
        <row r="208">
          <cell r="C208">
            <v>107687.62</v>
          </cell>
          <cell r="D208">
            <v>0</v>
          </cell>
          <cell r="E208">
            <v>6461.26</v>
          </cell>
        </row>
        <row r="209">
          <cell r="A209" t="str">
            <v>TJ202512161419000251708</v>
          </cell>
        </row>
        <row r="209">
          <cell r="C209">
            <v>84000.91</v>
          </cell>
          <cell r="D209">
            <v>0</v>
          </cell>
          <cell r="E209">
            <v>5040.05</v>
          </cell>
        </row>
        <row r="210">
          <cell r="A210" t="str">
            <v>TJ202512161424000446351</v>
          </cell>
        </row>
        <row r="210">
          <cell r="C210">
            <v>23302</v>
          </cell>
          <cell r="D210">
            <v>0</v>
          </cell>
          <cell r="E210">
            <v>1398.12</v>
          </cell>
        </row>
        <row r="211">
          <cell r="A211" t="str">
            <v>TJ202512161426000185483</v>
          </cell>
        </row>
        <row r="211">
          <cell r="C211">
            <v>79417.27</v>
          </cell>
          <cell r="D211">
            <v>0</v>
          </cell>
          <cell r="E211">
            <v>4765.04</v>
          </cell>
        </row>
        <row r="212">
          <cell r="A212" t="str">
            <v>TJ202512161427000243522</v>
          </cell>
        </row>
        <row r="212">
          <cell r="C212">
            <v>5283.02</v>
          </cell>
          <cell r="D212">
            <v>0</v>
          </cell>
          <cell r="E212">
            <v>316.98</v>
          </cell>
        </row>
        <row r="213">
          <cell r="A213" t="str">
            <v>TJ202512161633000091470</v>
          </cell>
        </row>
        <row r="213">
          <cell r="C213">
            <v>782881.83</v>
          </cell>
          <cell r="D213">
            <v>0</v>
          </cell>
          <cell r="E213">
            <v>46972.92</v>
          </cell>
        </row>
        <row r="214">
          <cell r="A214" t="str">
            <v>TJ202512161654000530997</v>
          </cell>
        </row>
        <row r="214">
          <cell r="C214">
            <v>680662.16</v>
          </cell>
          <cell r="D214">
            <v>0</v>
          </cell>
          <cell r="E214">
            <v>40839.73</v>
          </cell>
        </row>
        <row r="215">
          <cell r="A215" t="str">
            <v>TJ202512170935000416056</v>
          </cell>
        </row>
        <row r="215">
          <cell r="C215">
            <v>0</v>
          </cell>
          <cell r="D215">
            <v>10343.55</v>
          </cell>
          <cell r="E215">
            <v>0</v>
          </cell>
        </row>
        <row r="216">
          <cell r="A216" t="str">
            <v>TJ202512171106000002257</v>
          </cell>
        </row>
        <row r="216">
          <cell r="C216">
            <v>93929.05</v>
          </cell>
          <cell r="D216">
            <v>0</v>
          </cell>
          <cell r="E216">
            <v>5635.74</v>
          </cell>
        </row>
        <row r="217">
          <cell r="A217" t="str">
            <v>TJ202512171352000437182</v>
          </cell>
        </row>
        <row r="217">
          <cell r="C217">
            <v>0</v>
          </cell>
          <cell r="D217">
            <v>446809.76</v>
          </cell>
          <cell r="E217">
            <v>0</v>
          </cell>
        </row>
        <row r="218">
          <cell r="A218" t="str">
            <v>TJ202512171353000057082</v>
          </cell>
        </row>
        <row r="218">
          <cell r="C218">
            <v>356.19</v>
          </cell>
          <cell r="D218">
            <v>295872.05</v>
          </cell>
          <cell r="E218">
            <v>17.81</v>
          </cell>
        </row>
        <row r="219">
          <cell r="A219" t="str">
            <v>TJ202512171354000462129</v>
          </cell>
        </row>
        <row r="219">
          <cell r="C219">
            <v>1813.33</v>
          </cell>
          <cell r="D219">
            <v>93477.56</v>
          </cell>
          <cell r="E219">
            <v>90.67</v>
          </cell>
        </row>
        <row r="220">
          <cell r="A220" t="str">
            <v>TJ202512171358000106915</v>
          </cell>
        </row>
        <row r="220">
          <cell r="C220">
            <v>171.43</v>
          </cell>
          <cell r="D220">
            <v>52699.95</v>
          </cell>
          <cell r="E220">
            <v>8.57</v>
          </cell>
        </row>
        <row r="221">
          <cell r="A221" t="str">
            <v>TJ202512191741000231618</v>
          </cell>
        </row>
        <row r="221">
          <cell r="C221">
            <v>153640.89</v>
          </cell>
          <cell r="D221">
            <v>0</v>
          </cell>
          <cell r="E221">
            <v>9218.45</v>
          </cell>
        </row>
        <row r="222">
          <cell r="A222" t="str">
            <v>TJ202512171538000223533</v>
          </cell>
        </row>
        <row r="222">
          <cell r="C222">
            <v>448734.34</v>
          </cell>
          <cell r="D222">
            <v>0</v>
          </cell>
          <cell r="E222">
            <v>26924.06</v>
          </cell>
        </row>
        <row r="223">
          <cell r="A223" t="str">
            <v>TJ202512171541000275584</v>
          </cell>
        </row>
        <row r="223">
          <cell r="C223">
            <v>1517.28</v>
          </cell>
          <cell r="D223">
            <v>0</v>
          </cell>
          <cell r="E223">
            <v>91.04</v>
          </cell>
        </row>
        <row r="224">
          <cell r="A224" t="str">
            <v>TJ202512171549000023712</v>
          </cell>
        </row>
        <row r="224">
          <cell r="C224">
            <v>740.95</v>
          </cell>
          <cell r="D224">
            <v>69946.94</v>
          </cell>
          <cell r="E224">
            <v>37.05</v>
          </cell>
        </row>
        <row r="225">
          <cell r="A225" t="str">
            <v>TJ202512171550000361245</v>
          </cell>
        </row>
        <row r="225">
          <cell r="C225">
            <v>143.4</v>
          </cell>
          <cell r="D225">
            <v>0</v>
          </cell>
          <cell r="E225">
            <v>8.6</v>
          </cell>
        </row>
        <row r="226">
          <cell r="A226" t="str">
            <v>TJ202512171607000040197</v>
          </cell>
        </row>
        <row r="226">
          <cell r="C226">
            <v>2426.67</v>
          </cell>
          <cell r="D226">
            <v>219671.46</v>
          </cell>
          <cell r="E226">
            <v>121.33</v>
          </cell>
        </row>
        <row r="227">
          <cell r="A227" t="str">
            <v>TJ202512171628000539458</v>
          </cell>
        </row>
        <row r="227">
          <cell r="C227">
            <v>36462.27</v>
          </cell>
          <cell r="D227">
            <v>0</v>
          </cell>
          <cell r="E227">
            <v>2187.73</v>
          </cell>
        </row>
        <row r="228">
          <cell r="A228" t="str">
            <v>TJ202512171631000148037</v>
          </cell>
        </row>
        <row r="228">
          <cell r="C228">
            <v>2580676.93</v>
          </cell>
          <cell r="D228">
            <v>0</v>
          </cell>
          <cell r="E228">
            <v>154840.62</v>
          </cell>
        </row>
        <row r="229">
          <cell r="A229" t="str">
            <v>TJ202512171729000126067</v>
          </cell>
        </row>
        <row r="229">
          <cell r="C229">
            <v>4777.95</v>
          </cell>
          <cell r="D229">
            <v>0</v>
          </cell>
          <cell r="E229">
            <v>286.68</v>
          </cell>
        </row>
        <row r="230">
          <cell r="A230" t="str">
            <v>TJ202512180922000167677</v>
          </cell>
        </row>
        <row r="230">
          <cell r="C230">
            <v>236778.86</v>
          </cell>
          <cell r="D230">
            <v>0</v>
          </cell>
          <cell r="E230">
            <v>14206.73</v>
          </cell>
        </row>
        <row r="231">
          <cell r="A231" t="str">
            <v>TJ202512180926000426499</v>
          </cell>
        </row>
        <row r="231">
          <cell r="C231">
            <v>5690.33</v>
          </cell>
          <cell r="D231">
            <v>0</v>
          </cell>
          <cell r="E231">
            <v>341.42</v>
          </cell>
        </row>
        <row r="232">
          <cell r="A232" t="str">
            <v>TJ202512180947000060289</v>
          </cell>
        </row>
        <row r="232">
          <cell r="C232">
            <v>5566.66</v>
          </cell>
          <cell r="D232">
            <v>1187477.41</v>
          </cell>
          <cell r="E232">
            <v>278.34</v>
          </cell>
        </row>
        <row r="233">
          <cell r="A233" t="str">
            <v>TJ202512181007000027140</v>
          </cell>
        </row>
        <row r="233">
          <cell r="C233">
            <v>285.71</v>
          </cell>
          <cell r="D233">
            <v>107478.62</v>
          </cell>
          <cell r="E233">
            <v>14.29</v>
          </cell>
        </row>
        <row r="234">
          <cell r="A234" t="str">
            <v>TJ202512181339000003228</v>
          </cell>
        </row>
        <row r="234">
          <cell r="C234">
            <v>17142.86</v>
          </cell>
          <cell r="D234">
            <v>655119.61</v>
          </cell>
          <cell r="E234">
            <v>857.14</v>
          </cell>
        </row>
        <row r="235">
          <cell r="A235" t="str">
            <v>TJ202512181340000158950</v>
          </cell>
        </row>
        <row r="235">
          <cell r="C235">
            <v>518.87</v>
          </cell>
          <cell r="D235">
            <v>0</v>
          </cell>
          <cell r="E235">
            <v>31.13</v>
          </cell>
        </row>
        <row r="236">
          <cell r="A236" t="str">
            <v>TJ202512181341000522147</v>
          </cell>
        </row>
        <row r="236">
          <cell r="C236">
            <v>0</v>
          </cell>
          <cell r="D236">
            <v>1821546.35</v>
          </cell>
          <cell r="E236">
            <v>0</v>
          </cell>
        </row>
        <row r="237">
          <cell r="A237" t="str">
            <v>TJ202512181350000582273</v>
          </cell>
        </row>
        <row r="237">
          <cell r="C237">
            <v>525689.14</v>
          </cell>
          <cell r="D237">
            <v>0</v>
          </cell>
          <cell r="E237">
            <v>31541.35</v>
          </cell>
        </row>
        <row r="238">
          <cell r="A238" t="str">
            <v>TJ202512181356000060298</v>
          </cell>
        </row>
        <row r="238">
          <cell r="C238">
            <v>10438.1</v>
          </cell>
          <cell r="D238">
            <v>977802.82</v>
          </cell>
          <cell r="E238">
            <v>521.9</v>
          </cell>
        </row>
        <row r="239">
          <cell r="A239" t="str">
            <v>TJ202512181612000361464</v>
          </cell>
        </row>
        <row r="239">
          <cell r="C239">
            <v>370686.54</v>
          </cell>
          <cell r="D239">
            <v>0</v>
          </cell>
          <cell r="E239">
            <v>22241.2</v>
          </cell>
        </row>
        <row r="240">
          <cell r="A240" t="str">
            <v>TJ202512181621000513716</v>
          </cell>
        </row>
        <row r="240">
          <cell r="C240">
            <v>313318.29</v>
          </cell>
          <cell r="D240">
            <v>0</v>
          </cell>
          <cell r="E240">
            <v>18799.1</v>
          </cell>
        </row>
        <row r="241">
          <cell r="A241" t="str">
            <v>TJ202512181633000314046</v>
          </cell>
        </row>
        <row r="241">
          <cell r="C241">
            <v>2222727.28</v>
          </cell>
          <cell r="D241">
            <v>0</v>
          </cell>
          <cell r="E241">
            <v>133363.65</v>
          </cell>
        </row>
        <row r="242">
          <cell r="A242" t="str">
            <v>TJ202512181643000520114</v>
          </cell>
        </row>
        <row r="242">
          <cell r="C242">
            <v>9841.71</v>
          </cell>
          <cell r="D242">
            <v>0</v>
          </cell>
          <cell r="E242">
            <v>590.5</v>
          </cell>
        </row>
        <row r="243">
          <cell r="A243" t="str">
            <v>TJ202512181651000302089</v>
          </cell>
        </row>
        <row r="243">
          <cell r="C243">
            <v>190.48</v>
          </cell>
          <cell r="D243">
            <v>20298</v>
          </cell>
          <cell r="E243">
            <v>9.52</v>
          </cell>
        </row>
        <row r="244">
          <cell r="A244" t="str">
            <v>TJ202512182031000268314</v>
          </cell>
        </row>
        <row r="244">
          <cell r="C244">
            <v>2240</v>
          </cell>
          <cell r="D244">
            <v>451698.06</v>
          </cell>
          <cell r="E244">
            <v>112</v>
          </cell>
        </row>
        <row r="245">
          <cell r="A245" t="str">
            <v>TJ202512190929000242621</v>
          </cell>
        </row>
        <row r="245">
          <cell r="C245">
            <v>68887.52</v>
          </cell>
          <cell r="D245">
            <v>0</v>
          </cell>
          <cell r="E245">
            <v>4133.25</v>
          </cell>
        </row>
        <row r="246">
          <cell r="A246" t="str">
            <v>TJ202512191049000439819</v>
          </cell>
        </row>
        <row r="246">
          <cell r="C246">
            <v>258362.32</v>
          </cell>
          <cell r="D246">
            <v>0</v>
          </cell>
          <cell r="E246">
            <v>15501.74</v>
          </cell>
        </row>
        <row r="247">
          <cell r="A247" t="str">
            <v>TJ202512191305000270815</v>
          </cell>
        </row>
        <row r="247">
          <cell r="C247">
            <v>1947929.93</v>
          </cell>
          <cell r="D247">
            <v>0</v>
          </cell>
          <cell r="E247">
            <v>116875.8</v>
          </cell>
        </row>
        <row r="248">
          <cell r="A248" t="str">
            <v>TJ202512191345000250458</v>
          </cell>
        </row>
        <row r="248">
          <cell r="C248">
            <v>171.43</v>
          </cell>
          <cell r="D248">
            <v>1374.67</v>
          </cell>
          <cell r="E248">
            <v>8.57</v>
          </cell>
        </row>
        <row r="249">
          <cell r="A249" t="str">
            <v>TJ202512191348000184149</v>
          </cell>
        </row>
        <row r="249">
          <cell r="C249">
            <v>0</v>
          </cell>
          <cell r="D249">
            <v>2545.33</v>
          </cell>
          <cell r="E249">
            <v>0</v>
          </cell>
        </row>
        <row r="250">
          <cell r="A250" t="str">
            <v>TJ202512191456000383615</v>
          </cell>
        </row>
        <row r="250">
          <cell r="C250">
            <v>150631.56</v>
          </cell>
          <cell r="D250">
            <v>0</v>
          </cell>
          <cell r="E250">
            <v>9037.89</v>
          </cell>
        </row>
        <row r="251">
          <cell r="A251" t="str">
            <v>TJ202512191522000456729</v>
          </cell>
        </row>
        <row r="251">
          <cell r="C251">
            <v>542316.29</v>
          </cell>
          <cell r="D251">
            <v>0</v>
          </cell>
          <cell r="E251">
            <v>32538.98</v>
          </cell>
        </row>
        <row r="252">
          <cell r="A252" t="str">
            <v>TJ202512191526000028764</v>
          </cell>
        </row>
        <row r="252">
          <cell r="C252">
            <v>28635.57</v>
          </cell>
          <cell r="D252">
            <v>0</v>
          </cell>
          <cell r="E252">
            <v>1718.13</v>
          </cell>
        </row>
        <row r="253">
          <cell r="A253" t="str">
            <v>TJ202512191635000090268</v>
          </cell>
        </row>
        <row r="253">
          <cell r="C253">
            <v>1187079.06</v>
          </cell>
          <cell r="D253">
            <v>0</v>
          </cell>
          <cell r="E253">
            <v>71224.74</v>
          </cell>
        </row>
        <row r="254">
          <cell r="A254" t="str">
            <v>TJ202512191646000354236</v>
          </cell>
        </row>
        <row r="254">
          <cell r="C254">
            <v>449603.04</v>
          </cell>
          <cell r="D254">
            <v>0</v>
          </cell>
          <cell r="E254">
            <v>26976.18</v>
          </cell>
        </row>
        <row r="255">
          <cell r="A255" t="str">
            <v>TJ202512191734000555641</v>
          </cell>
        </row>
        <row r="255">
          <cell r="C255">
            <v>23119.92</v>
          </cell>
          <cell r="D255">
            <v>0</v>
          </cell>
          <cell r="E255">
            <v>1387.19</v>
          </cell>
        </row>
        <row r="256">
          <cell r="A256" t="str">
            <v>TJ202512191735000285118</v>
          </cell>
        </row>
        <row r="256">
          <cell r="C256">
            <v>753930.13</v>
          </cell>
          <cell r="D256">
            <v>0</v>
          </cell>
          <cell r="E256">
            <v>45235.81</v>
          </cell>
        </row>
        <row r="257">
          <cell r="A257" t="str">
            <v>TJ202512191906000045789</v>
          </cell>
        </row>
        <row r="257">
          <cell r="C257">
            <v>187393.07</v>
          </cell>
          <cell r="D257">
            <v>0</v>
          </cell>
          <cell r="E257">
            <v>11243.58</v>
          </cell>
        </row>
        <row r="258">
          <cell r="A258" t="str">
            <v>TJ202512201712000272220</v>
          </cell>
        </row>
        <row r="258">
          <cell r="C258">
            <v>43733.28</v>
          </cell>
          <cell r="D258">
            <v>0</v>
          </cell>
          <cell r="E258">
            <v>2624</v>
          </cell>
        </row>
        <row r="259">
          <cell r="A259" t="str">
            <v>TJ202512220922000299912</v>
          </cell>
        </row>
        <row r="259">
          <cell r="C259">
            <v>4774.32</v>
          </cell>
          <cell r="D259">
            <v>0</v>
          </cell>
          <cell r="E259">
            <v>286.46</v>
          </cell>
        </row>
        <row r="260">
          <cell r="A260" t="str">
            <v>TJ202512220951000525820</v>
          </cell>
        </row>
        <row r="260">
          <cell r="C260">
            <v>8505270.87</v>
          </cell>
          <cell r="D260">
            <v>0</v>
          </cell>
          <cell r="E260">
            <v>510316.25</v>
          </cell>
        </row>
        <row r="261">
          <cell r="A261" t="str">
            <v>TJ202512220959000255973</v>
          </cell>
        </row>
        <row r="261">
          <cell r="C261">
            <v>950857.47</v>
          </cell>
          <cell r="D261">
            <v>0</v>
          </cell>
          <cell r="E261">
            <v>57051.45</v>
          </cell>
        </row>
        <row r="262">
          <cell r="A262" t="str">
            <v>TJ202512221132000054375</v>
          </cell>
        </row>
        <row r="262">
          <cell r="C262">
            <v>250304.8</v>
          </cell>
          <cell r="D262">
            <v>0</v>
          </cell>
          <cell r="E262">
            <v>15018.29</v>
          </cell>
        </row>
        <row r="263">
          <cell r="A263" t="str">
            <v>TJ202512221132000552841</v>
          </cell>
        </row>
        <row r="263">
          <cell r="C263">
            <v>2921.9</v>
          </cell>
          <cell r="D263">
            <v>334339.13</v>
          </cell>
          <cell r="E263">
            <v>146.1</v>
          </cell>
        </row>
        <row r="264">
          <cell r="A264" t="str">
            <v>TJ202512221139000269074</v>
          </cell>
        </row>
        <row r="264">
          <cell r="C264">
            <v>247.62</v>
          </cell>
          <cell r="D264">
            <v>26992.37</v>
          </cell>
          <cell r="E264">
            <v>12.38</v>
          </cell>
        </row>
        <row r="265">
          <cell r="A265" t="str">
            <v>TJ202512221140000212655</v>
          </cell>
        </row>
        <row r="265">
          <cell r="C265">
            <v>179.25</v>
          </cell>
          <cell r="D265">
            <v>0</v>
          </cell>
          <cell r="E265">
            <v>10.75</v>
          </cell>
        </row>
        <row r="266">
          <cell r="A266" t="str">
            <v>TJ202512221343000100668</v>
          </cell>
        </row>
        <row r="266">
          <cell r="C266">
            <v>315659</v>
          </cell>
          <cell r="D266">
            <v>0</v>
          </cell>
          <cell r="E266">
            <v>18939.54</v>
          </cell>
        </row>
        <row r="267">
          <cell r="A267" t="str">
            <v>TJ202512221355000421706</v>
          </cell>
        </row>
        <row r="267">
          <cell r="C267">
            <v>285.71</v>
          </cell>
          <cell r="D267">
            <v>47923.26</v>
          </cell>
          <cell r="E267">
            <v>14.29</v>
          </cell>
        </row>
        <row r="268">
          <cell r="A268" t="str">
            <v>TJ202512221356000065174</v>
          </cell>
        </row>
        <row r="268">
          <cell r="C268">
            <v>1386.67</v>
          </cell>
          <cell r="D268">
            <v>137364.79</v>
          </cell>
          <cell r="E268">
            <v>69.33</v>
          </cell>
        </row>
        <row r="269">
          <cell r="A269" t="str">
            <v>TJ202512221356000498935</v>
          </cell>
        </row>
        <row r="269">
          <cell r="C269">
            <v>316.98</v>
          </cell>
          <cell r="D269">
            <v>0</v>
          </cell>
          <cell r="E269">
            <v>19.02</v>
          </cell>
        </row>
        <row r="270">
          <cell r="A270" t="str">
            <v>TJ202512221410000231549</v>
          </cell>
        </row>
        <row r="270">
          <cell r="C270">
            <v>2328705.65</v>
          </cell>
          <cell r="D270">
            <v>0</v>
          </cell>
          <cell r="E270">
            <v>139722.34</v>
          </cell>
        </row>
        <row r="271">
          <cell r="A271" t="str">
            <v>TJ202512221411000567159</v>
          </cell>
        </row>
        <row r="271">
          <cell r="C271">
            <v>445.71</v>
          </cell>
          <cell r="D271">
            <v>44414.39</v>
          </cell>
          <cell r="E271">
            <v>22.29</v>
          </cell>
        </row>
        <row r="272">
          <cell r="A272" t="str">
            <v>TJ202512221412000451616</v>
          </cell>
        </row>
        <row r="272">
          <cell r="C272">
            <v>37390</v>
          </cell>
          <cell r="D272">
            <v>0</v>
          </cell>
          <cell r="E272">
            <v>2243.4</v>
          </cell>
        </row>
        <row r="273">
          <cell r="A273" t="str">
            <v>TJ202512221415000451905</v>
          </cell>
        </row>
        <row r="273">
          <cell r="C273">
            <v>84.91</v>
          </cell>
          <cell r="D273">
            <v>0</v>
          </cell>
          <cell r="E273">
            <v>5.09</v>
          </cell>
        </row>
        <row r="274">
          <cell r="A274" t="str">
            <v>TJ202512221419000189484</v>
          </cell>
        </row>
        <row r="274">
          <cell r="C274">
            <v>685.71</v>
          </cell>
          <cell r="D274">
            <v>42616.7</v>
          </cell>
          <cell r="E274">
            <v>34.29</v>
          </cell>
        </row>
        <row r="275">
          <cell r="A275" t="str">
            <v>TJ202512221448000055516</v>
          </cell>
        </row>
        <row r="275">
          <cell r="C275">
            <v>32543.94</v>
          </cell>
          <cell r="D275">
            <v>0</v>
          </cell>
          <cell r="E275">
            <v>1952.64</v>
          </cell>
        </row>
        <row r="276">
          <cell r="A276" t="str">
            <v>TJ202512221524000022351</v>
          </cell>
        </row>
        <row r="276">
          <cell r="C276">
            <v>29720.41</v>
          </cell>
          <cell r="D276">
            <v>0</v>
          </cell>
          <cell r="E276">
            <v>1783.22</v>
          </cell>
        </row>
        <row r="277">
          <cell r="A277" t="str">
            <v>TJ202512221529000015937</v>
          </cell>
        </row>
        <row r="277">
          <cell r="C277">
            <v>81136.74</v>
          </cell>
          <cell r="D277">
            <v>0</v>
          </cell>
          <cell r="E277">
            <v>4868.2</v>
          </cell>
        </row>
        <row r="278">
          <cell r="A278" t="str">
            <v>TJ202512221609000358247</v>
          </cell>
        </row>
        <row r="278">
          <cell r="C278">
            <v>1071.21</v>
          </cell>
          <cell r="D278">
            <v>129561.5</v>
          </cell>
          <cell r="E278">
            <v>53.56</v>
          </cell>
        </row>
        <row r="279">
          <cell r="A279" t="str">
            <v>TJ202512221613000071792</v>
          </cell>
        </row>
        <row r="279">
          <cell r="C279">
            <v>5761.06</v>
          </cell>
          <cell r="D279">
            <v>961902.72</v>
          </cell>
          <cell r="E279">
            <v>288.05</v>
          </cell>
        </row>
        <row r="280">
          <cell r="A280" t="str">
            <v>TJ202512221616000206331</v>
          </cell>
        </row>
        <row r="280">
          <cell r="C280">
            <v>198.55</v>
          </cell>
          <cell r="D280">
            <v>35128.87</v>
          </cell>
          <cell r="E280">
            <v>9.93</v>
          </cell>
        </row>
        <row r="281">
          <cell r="A281" t="str">
            <v>TJ202512221619000176262</v>
          </cell>
        </row>
        <row r="281">
          <cell r="C281">
            <v>186337.8</v>
          </cell>
          <cell r="D281">
            <v>0</v>
          </cell>
          <cell r="E281">
            <v>11180.27</v>
          </cell>
        </row>
        <row r="282">
          <cell r="A282" t="str">
            <v>TJ202512221627000464967</v>
          </cell>
        </row>
        <row r="282">
          <cell r="C282">
            <v>1133867.98</v>
          </cell>
          <cell r="D282">
            <v>0</v>
          </cell>
          <cell r="E282">
            <v>68032.08</v>
          </cell>
        </row>
        <row r="283">
          <cell r="A283" t="str">
            <v>TJ202512221627000496215</v>
          </cell>
        </row>
        <row r="283">
          <cell r="C283">
            <v>226438.56</v>
          </cell>
          <cell r="D283">
            <v>0</v>
          </cell>
          <cell r="E283">
            <v>13586.31</v>
          </cell>
        </row>
        <row r="284">
          <cell r="A284" t="str">
            <v>TJ202512221630000327860</v>
          </cell>
        </row>
        <row r="284">
          <cell r="C284">
            <v>910306.48</v>
          </cell>
          <cell r="D284">
            <v>0</v>
          </cell>
          <cell r="E284">
            <v>54618.39</v>
          </cell>
        </row>
        <row r="285">
          <cell r="A285" t="str">
            <v>TJ202512221632000519937</v>
          </cell>
        </row>
        <row r="285">
          <cell r="C285">
            <v>1929222.12</v>
          </cell>
          <cell r="D285">
            <v>0</v>
          </cell>
          <cell r="E285">
            <v>115753.33</v>
          </cell>
        </row>
        <row r="286">
          <cell r="A286" t="str">
            <v>TJ202512221635000214068</v>
          </cell>
        </row>
        <row r="286">
          <cell r="C286">
            <v>11847.91</v>
          </cell>
          <cell r="D286">
            <v>0</v>
          </cell>
          <cell r="E286">
            <v>710.87</v>
          </cell>
        </row>
        <row r="287">
          <cell r="A287" t="str">
            <v>TJ202512221636000390559</v>
          </cell>
        </row>
        <row r="287">
          <cell r="C287">
            <v>215882.09</v>
          </cell>
          <cell r="D287">
            <v>0</v>
          </cell>
          <cell r="E287">
            <v>12952.93</v>
          </cell>
        </row>
        <row r="288">
          <cell r="A288" t="str">
            <v>TJ202512221637000113472</v>
          </cell>
        </row>
        <row r="288">
          <cell r="C288">
            <v>95899.04</v>
          </cell>
          <cell r="D288">
            <v>0</v>
          </cell>
          <cell r="E288">
            <v>5753.94</v>
          </cell>
        </row>
        <row r="289">
          <cell r="A289" t="str">
            <v>TJ202512221637000406537</v>
          </cell>
        </row>
        <row r="289">
          <cell r="C289">
            <v>2072412.69</v>
          </cell>
          <cell r="D289">
            <v>0</v>
          </cell>
          <cell r="E289">
            <v>124344.76</v>
          </cell>
        </row>
        <row r="290">
          <cell r="A290" t="str">
            <v>TJ202512221639000429433</v>
          </cell>
        </row>
        <row r="290">
          <cell r="C290">
            <v>103839.13</v>
          </cell>
          <cell r="D290">
            <v>0</v>
          </cell>
          <cell r="E290">
            <v>6230.35</v>
          </cell>
        </row>
        <row r="291">
          <cell r="A291" t="str">
            <v>TJ202512221639000447774</v>
          </cell>
        </row>
        <row r="291">
          <cell r="C291">
            <v>27943.75</v>
          </cell>
          <cell r="D291">
            <v>0</v>
          </cell>
          <cell r="E291">
            <v>1676.62</v>
          </cell>
        </row>
        <row r="292">
          <cell r="A292" t="str">
            <v>TJ202512221648000130370</v>
          </cell>
        </row>
        <row r="292">
          <cell r="C292">
            <v>58323.14</v>
          </cell>
          <cell r="D292">
            <v>0</v>
          </cell>
          <cell r="E292">
            <v>3499.39</v>
          </cell>
        </row>
        <row r="293">
          <cell r="A293" t="str">
            <v>TJ202512221650000111893</v>
          </cell>
        </row>
        <row r="293">
          <cell r="C293">
            <v>68431.68</v>
          </cell>
          <cell r="D293">
            <v>0</v>
          </cell>
          <cell r="E293">
            <v>4105.9</v>
          </cell>
        </row>
        <row r="294">
          <cell r="A294" t="str">
            <v>TJ202512240945000018291</v>
          </cell>
        </row>
        <row r="294">
          <cell r="C294">
            <v>1868837.9</v>
          </cell>
          <cell r="D294">
            <v>0</v>
          </cell>
          <cell r="E294">
            <v>112130.27</v>
          </cell>
        </row>
        <row r="295">
          <cell r="A295" t="str">
            <v>TJ202512221808000297137</v>
          </cell>
        </row>
        <row r="295">
          <cell r="C295">
            <v>432385.13</v>
          </cell>
          <cell r="D295">
            <v>0</v>
          </cell>
          <cell r="E295">
            <v>25943.11</v>
          </cell>
        </row>
        <row r="296">
          <cell r="A296" t="str">
            <v>TJ202512230907000310937</v>
          </cell>
        </row>
        <row r="296">
          <cell r="C296">
            <v>30756.61</v>
          </cell>
          <cell r="D296">
            <v>4303668.88</v>
          </cell>
          <cell r="E296">
            <v>1537.81</v>
          </cell>
        </row>
        <row r="297">
          <cell r="A297" t="str">
            <v>TJ202512230911000202997</v>
          </cell>
        </row>
        <row r="297">
          <cell r="C297">
            <v>10420.3</v>
          </cell>
          <cell r="D297">
            <v>0</v>
          </cell>
          <cell r="E297">
            <v>625.22</v>
          </cell>
        </row>
        <row r="298">
          <cell r="A298" t="str">
            <v>TJ202512230922000460219</v>
          </cell>
        </row>
        <row r="298">
          <cell r="C298">
            <v>0</v>
          </cell>
          <cell r="D298">
            <v>7000</v>
          </cell>
          <cell r="E298">
            <v>0</v>
          </cell>
        </row>
        <row r="299">
          <cell r="A299" t="str">
            <v>TJ202512230932000483273</v>
          </cell>
        </row>
        <row r="299">
          <cell r="C299">
            <v>16035.7</v>
          </cell>
          <cell r="D299">
            <v>0</v>
          </cell>
          <cell r="E299">
            <v>962.14</v>
          </cell>
        </row>
        <row r="300">
          <cell r="A300" t="str">
            <v>TJ202512230938000184689</v>
          </cell>
        </row>
        <row r="300">
          <cell r="C300">
            <v>1826.3</v>
          </cell>
          <cell r="D300">
            <v>0</v>
          </cell>
          <cell r="E300">
            <v>109.58</v>
          </cell>
        </row>
        <row r="301">
          <cell r="A301" t="str">
            <v>TJ202512230959000589996</v>
          </cell>
        </row>
        <row r="301">
          <cell r="C301">
            <v>0</v>
          </cell>
          <cell r="D301">
            <v>84800</v>
          </cell>
          <cell r="E301">
            <v>0</v>
          </cell>
        </row>
        <row r="302">
          <cell r="A302" t="str">
            <v>TJ202512231019000519060</v>
          </cell>
        </row>
        <row r="302">
          <cell r="C302">
            <v>3323.81</v>
          </cell>
          <cell r="D302">
            <v>114090.89</v>
          </cell>
          <cell r="E302">
            <v>166.19</v>
          </cell>
        </row>
        <row r="303">
          <cell r="A303" t="str">
            <v>TJ202512231124000290212</v>
          </cell>
        </row>
        <row r="303">
          <cell r="C303">
            <v>384575.01</v>
          </cell>
          <cell r="D303">
            <v>0</v>
          </cell>
          <cell r="E303">
            <v>23074.5</v>
          </cell>
        </row>
        <row r="304">
          <cell r="A304" t="str">
            <v>TJ202512231338000375270</v>
          </cell>
        </row>
        <row r="304">
          <cell r="C304">
            <v>90.51</v>
          </cell>
          <cell r="D304">
            <v>4297.26</v>
          </cell>
          <cell r="E304">
            <v>4.53</v>
          </cell>
        </row>
        <row r="305">
          <cell r="A305" t="str">
            <v>TJ202512231436000099384</v>
          </cell>
        </row>
        <row r="305">
          <cell r="C305">
            <v>11259320.71</v>
          </cell>
          <cell r="D305">
            <v>0</v>
          </cell>
          <cell r="E305">
            <v>675559.24</v>
          </cell>
        </row>
        <row r="306">
          <cell r="A306" t="str">
            <v>TJ202512231440000043254</v>
          </cell>
        </row>
        <row r="306">
          <cell r="C306">
            <v>13584.91</v>
          </cell>
          <cell r="D306">
            <v>0</v>
          </cell>
          <cell r="E306">
            <v>815.09</v>
          </cell>
        </row>
        <row r="307">
          <cell r="A307" t="str">
            <v>TJ202512231444000243531</v>
          </cell>
        </row>
        <row r="307">
          <cell r="C307">
            <v>6792.45</v>
          </cell>
          <cell r="D307">
            <v>0</v>
          </cell>
          <cell r="E307">
            <v>407.55</v>
          </cell>
        </row>
        <row r="308">
          <cell r="A308" t="str">
            <v>TJ202512231448000032701</v>
          </cell>
        </row>
        <row r="308">
          <cell r="C308">
            <v>7547.17</v>
          </cell>
          <cell r="D308">
            <v>0</v>
          </cell>
          <cell r="E308">
            <v>452.83</v>
          </cell>
        </row>
        <row r="309">
          <cell r="A309" t="str">
            <v>TJ202512231522000358937</v>
          </cell>
        </row>
        <row r="309">
          <cell r="C309">
            <v>179034.89</v>
          </cell>
          <cell r="D309">
            <v>0</v>
          </cell>
          <cell r="E309">
            <v>10742.09</v>
          </cell>
        </row>
        <row r="310">
          <cell r="A310" t="str">
            <v>TJ202512231600000421095</v>
          </cell>
        </row>
        <row r="310">
          <cell r="C310">
            <v>886687.48</v>
          </cell>
          <cell r="D310">
            <v>0</v>
          </cell>
          <cell r="E310">
            <v>53201.25</v>
          </cell>
        </row>
        <row r="311">
          <cell r="A311" t="str">
            <v>TJ202512232257000063543</v>
          </cell>
        </row>
        <row r="311">
          <cell r="C311">
            <v>0</v>
          </cell>
          <cell r="D311">
            <v>238924</v>
          </cell>
          <cell r="E311">
            <v>0</v>
          </cell>
        </row>
        <row r="312">
          <cell r="A312" t="str">
            <v>TJ202512240029000198399</v>
          </cell>
        </row>
        <row r="312">
          <cell r="C312">
            <v>20318.26</v>
          </cell>
          <cell r="D312">
            <v>0</v>
          </cell>
          <cell r="E312">
            <v>1219.1</v>
          </cell>
        </row>
        <row r="313">
          <cell r="A313" t="str">
            <v>TJ202512240054000379016</v>
          </cell>
        </row>
        <row r="313">
          <cell r="C313">
            <v>78449.75</v>
          </cell>
          <cell r="D313">
            <v>0</v>
          </cell>
          <cell r="E313">
            <v>4706.97</v>
          </cell>
        </row>
        <row r="314">
          <cell r="A314" t="str">
            <v>TJ202512241007000248869</v>
          </cell>
        </row>
        <row r="314">
          <cell r="C314">
            <v>3295877.38</v>
          </cell>
          <cell r="D314">
            <v>0</v>
          </cell>
          <cell r="E314">
            <v>197752.64</v>
          </cell>
        </row>
        <row r="315">
          <cell r="A315" t="str">
            <v>TJ202512241012000004027</v>
          </cell>
        </row>
        <row r="315">
          <cell r="C315">
            <v>0</v>
          </cell>
          <cell r="D315">
            <v>506955</v>
          </cell>
          <cell r="E315">
            <v>0</v>
          </cell>
        </row>
        <row r="316">
          <cell r="A316" t="str">
            <v>TJ202512241033000500473</v>
          </cell>
        </row>
        <row r="316">
          <cell r="C316">
            <v>243563.23</v>
          </cell>
          <cell r="D316">
            <v>0</v>
          </cell>
          <cell r="E316">
            <v>14613.8</v>
          </cell>
        </row>
        <row r="317">
          <cell r="A317" t="str">
            <v>TJ202512241040000492325</v>
          </cell>
        </row>
        <row r="317">
          <cell r="C317">
            <v>243150.44</v>
          </cell>
          <cell r="D317">
            <v>0</v>
          </cell>
          <cell r="E317">
            <v>14589.03</v>
          </cell>
        </row>
        <row r="318">
          <cell r="A318" t="str">
            <v>TJ202512241609000541188</v>
          </cell>
        </row>
        <row r="318">
          <cell r="C318">
            <v>428.57</v>
          </cell>
          <cell r="D318">
            <v>58677.33</v>
          </cell>
          <cell r="E318">
            <v>21.43</v>
          </cell>
        </row>
        <row r="319">
          <cell r="A319" t="str">
            <v>TJ202512241611000553628</v>
          </cell>
        </row>
        <row r="319">
          <cell r="C319">
            <v>71991.65</v>
          </cell>
          <cell r="D319">
            <v>0</v>
          </cell>
          <cell r="E319">
            <v>4319.5</v>
          </cell>
        </row>
        <row r="320">
          <cell r="A320" t="str">
            <v>TJ202512241628000061967</v>
          </cell>
        </row>
        <row r="320">
          <cell r="C320">
            <v>4730881.58</v>
          </cell>
          <cell r="D320">
            <v>0</v>
          </cell>
          <cell r="E320">
            <v>283852.9</v>
          </cell>
        </row>
        <row r="321">
          <cell r="A321" t="str">
            <v>TJ202512241633000367465</v>
          </cell>
        </row>
        <row r="321">
          <cell r="C321">
            <v>12162.72</v>
          </cell>
          <cell r="D321">
            <v>0</v>
          </cell>
          <cell r="E321">
            <v>729.76</v>
          </cell>
        </row>
        <row r="322">
          <cell r="A322" t="str">
            <v>TJ202512241634000104731</v>
          </cell>
        </row>
        <row r="322">
          <cell r="C322">
            <v>55081.7</v>
          </cell>
          <cell r="D322">
            <v>0</v>
          </cell>
          <cell r="E322">
            <v>3304.9</v>
          </cell>
        </row>
        <row r="323">
          <cell r="A323" t="str">
            <v>TJ202512241635000351022</v>
          </cell>
        </row>
        <row r="323">
          <cell r="C323">
            <v>238205.28</v>
          </cell>
          <cell r="D323">
            <v>0</v>
          </cell>
          <cell r="E323">
            <v>14292.32</v>
          </cell>
        </row>
        <row r="324">
          <cell r="A324" t="str">
            <v>TJ202512241637000165536</v>
          </cell>
        </row>
        <row r="324">
          <cell r="C324">
            <v>16868.2</v>
          </cell>
          <cell r="D324">
            <v>0</v>
          </cell>
          <cell r="E324">
            <v>1012.09</v>
          </cell>
        </row>
        <row r="325">
          <cell r="A325" t="str">
            <v>TJ202512241638000217428</v>
          </cell>
        </row>
        <row r="325">
          <cell r="C325">
            <v>29246.75</v>
          </cell>
          <cell r="D325">
            <v>0</v>
          </cell>
          <cell r="E325">
            <v>1754.8</v>
          </cell>
        </row>
        <row r="326">
          <cell r="A326" t="str">
            <v>TJ202512241642000101583</v>
          </cell>
        </row>
        <row r="326">
          <cell r="C326">
            <v>39861.95</v>
          </cell>
          <cell r="D326">
            <v>0</v>
          </cell>
          <cell r="E326">
            <v>2391.72</v>
          </cell>
        </row>
        <row r="327">
          <cell r="A327" t="str">
            <v>TJ202512241644000211570</v>
          </cell>
        </row>
        <row r="327">
          <cell r="C327">
            <v>416781.3</v>
          </cell>
          <cell r="D327">
            <v>0</v>
          </cell>
          <cell r="E327">
            <v>25006.88</v>
          </cell>
        </row>
        <row r="328">
          <cell r="A328" t="str">
            <v>TJ202512241645000319690</v>
          </cell>
        </row>
        <row r="328">
          <cell r="C328">
            <v>39476.25</v>
          </cell>
          <cell r="D328">
            <v>0</v>
          </cell>
          <cell r="E328">
            <v>2368.57</v>
          </cell>
        </row>
        <row r="329">
          <cell r="A329" t="str">
            <v>TJ202512241646000541066</v>
          </cell>
        </row>
        <row r="329">
          <cell r="C329">
            <v>140617.48</v>
          </cell>
          <cell r="D329">
            <v>0</v>
          </cell>
          <cell r="E329">
            <v>8437.05</v>
          </cell>
        </row>
        <row r="330">
          <cell r="A330" t="str">
            <v>TJ202512241656000311780</v>
          </cell>
        </row>
        <row r="330">
          <cell r="C330">
            <v>47333.79</v>
          </cell>
          <cell r="D330">
            <v>0</v>
          </cell>
          <cell r="E330">
            <v>2840.03</v>
          </cell>
        </row>
        <row r="331">
          <cell r="A331" t="str">
            <v>TJ202512241704000373137</v>
          </cell>
        </row>
        <row r="331">
          <cell r="C331">
            <v>33700.9</v>
          </cell>
          <cell r="D331">
            <v>0</v>
          </cell>
          <cell r="E331">
            <v>2022.05</v>
          </cell>
        </row>
        <row r="332">
          <cell r="A332" t="str">
            <v>TJ202512241715000244086</v>
          </cell>
        </row>
        <row r="332">
          <cell r="C332">
            <v>25332.43</v>
          </cell>
          <cell r="D332">
            <v>0</v>
          </cell>
          <cell r="E332">
            <v>1519.95</v>
          </cell>
        </row>
        <row r="333">
          <cell r="A333" t="str">
            <v>TJ202512241717000169428</v>
          </cell>
        </row>
        <row r="333">
          <cell r="C333">
            <v>11918.78</v>
          </cell>
          <cell r="D333">
            <v>0</v>
          </cell>
          <cell r="E333">
            <v>715.13</v>
          </cell>
        </row>
        <row r="334">
          <cell r="A334" t="str">
            <v>TJ202512241720000152306</v>
          </cell>
        </row>
        <row r="334">
          <cell r="C334">
            <v>12653.24</v>
          </cell>
          <cell r="D334">
            <v>0</v>
          </cell>
          <cell r="E334">
            <v>759.19</v>
          </cell>
        </row>
        <row r="335">
          <cell r="A335" t="str">
            <v>TJ202512241722000277573</v>
          </cell>
        </row>
        <row r="335">
          <cell r="C335">
            <v>218084.65</v>
          </cell>
          <cell r="D335">
            <v>0</v>
          </cell>
          <cell r="E335">
            <v>13085.08</v>
          </cell>
        </row>
        <row r="336">
          <cell r="A336" t="str">
            <v>TJ202512241723000490206</v>
          </cell>
        </row>
        <row r="336">
          <cell r="C336">
            <v>26091.95</v>
          </cell>
          <cell r="D336">
            <v>0</v>
          </cell>
          <cell r="E336">
            <v>1565.52</v>
          </cell>
        </row>
        <row r="337">
          <cell r="A337" t="str">
            <v>TJ202512241725000242103</v>
          </cell>
        </row>
        <row r="337">
          <cell r="C337">
            <v>10213.73</v>
          </cell>
          <cell r="D337">
            <v>0</v>
          </cell>
          <cell r="E337">
            <v>612.82</v>
          </cell>
        </row>
        <row r="338">
          <cell r="A338" t="str">
            <v>TJ202512241727000511827</v>
          </cell>
        </row>
        <row r="338">
          <cell r="C338">
            <v>82.43</v>
          </cell>
          <cell r="D338">
            <v>0</v>
          </cell>
          <cell r="E338">
            <v>4.95</v>
          </cell>
        </row>
        <row r="339">
          <cell r="A339" t="str">
            <v>TJ202512241728000205043</v>
          </cell>
        </row>
        <row r="339">
          <cell r="C339">
            <v>33533.35</v>
          </cell>
          <cell r="D339">
            <v>0</v>
          </cell>
          <cell r="E339">
            <v>2012</v>
          </cell>
        </row>
        <row r="340">
          <cell r="A340" t="str">
            <v>TJ202512241729000282463</v>
          </cell>
        </row>
        <row r="340">
          <cell r="C340">
            <v>12666.22</v>
          </cell>
          <cell r="D340">
            <v>0</v>
          </cell>
          <cell r="E340">
            <v>759.97</v>
          </cell>
        </row>
        <row r="341">
          <cell r="A341" t="str">
            <v>TJ202512241730000433529</v>
          </cell>
        </row>
        <row r="341">
          <cell r="C341">
            <v>21285.63</v>
          </cell>
          <cell r="D341">
            <v>0</v>
          </cell>
          <cell r="E341">
            <v>1277.14</v>
          </cell>
        </row>
        <row r="342">
          <cell r="A342" t="str">
            <v>TJ202512241731000540896</v>
          </cell>
        </row>
        <row r="342">
          <cell r="C342">
            <v>10626.44</v>
          </cell>
          <cell r="D342">
            <v>0</v>
          </cell>
          <cell r="E342">
            <v>637.59</v>
          </cell>
        </row>
        <row r="343">
          <cell r="A343" t="str">
            <v>TJ202512241733000140380</v>
          </cell>
        </row>
        <row r="343">
          <cell r="C343">
            <v>14067.66</v>
          </cell>
          <cell r="D343">
            <v>0</v>
          </cell>
          <cell r="E343">
            <v>844.06</v>
          </cell>
        </row>
        <row r="344">
          <cell r="A344" t="str">
            <v>TJ202512241734000470716</v>
          </cell>
        </row>
        <row r="344">
          <cell r="C344">
            <v>13399.26</v>
          </cell>
          <cell r="D344">
            <v>0</v>
          </cell>
          <cell r="E344">
            <v>803.96</v>
          </cell>
        </row>
        <row r="345">
          <cell r="A345" t="str">
            <v>TJ202512241736000089140</v>
          </cell>
        </row>
        <row r="345">
          <cell r="C345">
            <v>17639.63</v>
          </cell>
          <cell r="D345">
            <v>0</v>
          </cell>
          <cell r="E345">
            <v>1058.38</v>
          </cell>
        </row>
        <row r="346">
          <cell r="A346" t="str">
            <v>TJ202512241737000249893</v>
          </cell>
        </row>
        <row r="346">
          <cell r="C346">
            <v>17023.98</v>
          </cell>
          <cell r="D346">
            <v>0</v>
          </cell>
          <cell r="E346">
            <v>1021.44</v>
          </cell>
        </row>
        <row r="347">
          <cell r="A347" t="str">
            <v>TJ202512251141000326780</v>
          </cell>
        </row>
        <row r="347">
          <cell r="C347">
            <v>29753.9</v>
          </cell>
          <cell r="D347">
            <v>0</v>
          </cell>
          <cell r="E347">
            <v>1785.23</v>
          </cell>
        </row>
        <row r="348">
          <cell r="A348" t="str">
            <v>TJ202512251145000574717</v>
          </cell>
        </row>
        <row r="348">
          <cell r="C348">
            <v>107648.66</v>
          </cell>
          <cell r="D348">
            <v>0</v>
          </cell>
          <cell r="E348">
            <v>6458.92</v>
          </cell>
        </row>
        <row r="349">
          <cell r="A349" t="str">
            <v>TJ202512251148000521915</v>
          </cell>
        </row>
        <row r="349">
          <cell r="C349">
            <v>631978.57</v>
          </cell>
          <cell r="D349">
            <v>0</v>
          </cell>
          <cell r="E349">
            <v>37918.71</v>
          </cell>
        </row>
        <row r="350">
          <cell r="A350" t="str">
            <v>TJ202512251523000398568</v>
          </cell>
        </row>
        <row r="350">
          <cell r="C350">
            <v>480565.73</v>
          </cell>
          <cell r="D350">
            <v>0</v>
          </cell>
          <cell r="E350">
            <v>28833.94</v>
          </cell>
        </row>
        <row r="351">
          <cell r="A351" t="str">
            <v>TJ202512251552000310600</v>
          </cell>
        </row>
        <row r="351">
          <cell r="C351">
            <v>76.19</v>
          </cell>
          <cell r="D351">
            <v>6874.07</v>
          </cell>
          <cell r="E351">
            <v>3.81</v>
          </cell>
        </row>
        <row r="352">
          <cell r="A352" t="str">
            <v>TJ202512251752000030161</v>
          </cell>
        </row>
        <row r="352">
          <cell r="C352">
            <v>146055.82</v>
          </cell>
          <cell r="D352">
            <v>0</v>
          </cell>
          <cell r="E352">
            <v>8763.34</v>
          </cell>
        </row>
        <row r="353">
          <cell r="A353" t="str">
            <v>TJ202512251843000193698</v>
          </cell>
        </row>
        <row r="353">
          <cell r="C353">
            <v>29400.38</v>
          </cell>
          <cell r="D353">
            <v>0</v>
          </cell>
          <cell r="E353">
            <v>1764.01</v>
          </cell>
        </row>
        <row r="354">
          <cell r="A354" t="str">
            <v>TJ202512261220000432954</v>
          </cell>
        </row>
        <row r="354">
          <cell r="C354">
            <v>1749390.08</v>
          </cell>
          <cell r="D354">
            <v>0</v>
          </cell>
          <cell r="E354">
            <v>104963.41</v>
          </cell>
        </row>
        <row r="355">
          <cell r="A355" t="str">
            <v>TJ202512261222000013157</v>
          </cell>
        </row>
        <row r="355">
          <cell r="C355">
            <v>487611.33</v>
          </cell>
          <cell r="D355">
            <v>0</v>
          </cell>
          <cell r="E355">
            <v>29256.68</v>
          </cell>
        </row>
        <row r="356">
          <cell r="A356" t="str">
            <v>TJ202512261223000240994</v>
          </cell>
        </row>
        <row r="356">
          <cell r="C356">
            <v>97935.96</v>
          </cell>
          <cell r="D356">
            <v>0</v>
          </cell>
          <cell r="E356">
            <v>5876.16</v>
          </cell>
        </row>
        <row r="357">
          <cell r="A357" t="str">
            <v>TJ202512261446000017894</v>
          </cell>
        </row>
        <row r="357">
          <cell r="C357">
            <v>57.14</v>
          </cell>
          <cell r="D357">
            <v>1933.33</v>
          </cell>
          <cell r="E357">
            <v>2.86</v>
          </cell>
        </row>
        <row r="358">
          <cell r="A358" t="str">
            <v>TJ202512261448000143931</v>
          </cell>
        </row>
        <row r="358">
          <cell r="C358">
            <v>257.14</v>
          </cell>
          <cell r="D358">
            <v>182742.14</v>
          </cell>
          <cell r="E358">
            <v>12.86</v>
          </cell>
        </row>
        <row r="359">
          <cell r="A359" t="str">
            <v>TJ202512261601000561914</v>
          </cell>
        </row>
        <row r="359">
          <cell r="C359">
            <v>754.52</v>
          </cell>
          <cell r="D359">
            <v>60839.35</v>
          </cell>
          <cell r="E359">
            <v>37.73</v>
          </cell>
        </row>
        <row r="360">
          <cell r="A360" t="str">
            <v>TJ202512261758000266548</v>
          </cell>
        </row>
        <row r="360">
          <cell r="C360">
            <v>1673653.54</v>
          </cell>
          <cell r="D360">
            <v>0</v>
          </cell>
          <cell r="E360">
            <v>100419.21</v>
          </cell>
        </row>
        <row r="361">
          <cell r="A361" t="str">
            <v>TJ202512261807000501846</v>
          </cell>
        </row>
        <row r="361">
          <cell r="C361">
            <v>158484.48</v>
          </cell>
          <cell r="D361">
            <v>0</v>
          </cell>
          <cell r="E361">
            <v>9509.07</v>
          </cell>
        </row>
        <row r="362">
          <cell r="A362" t="str">
            <v>TJ202512290945000298055</v>
          </cell>
        </row>
        <row r="362">
          <cell r="C362">
            <v>285.71</v>
          </cell>
          <cell r="D362">
            <v>80293.34</v>
          </cell>
          <cell r="E362">
            <v>14.29</v>
          </cell>
        </row>
        <row r="363">
          <cell r="A363" t="str">
            <v>TJ202512291016000401809</v>
          </cell>
        </row>
        <row r="363">
          <cell r="C363">
            <v>2445.28</v>
          </cell>
          <cell r="D363">
            <v>0</v>
          </cell>
          <cell r="E363">
            <v>146.72</v>
          </cell>
        </row>
        <row r="364">
          <cell r="A364" t="str">
            <v>TJ202512291019000002197</v>
          </cell>
        </row>
        <row r="364">
          <cell r="C364">
            <v>7066.04</v>
          </cell>
          <cell r="D364">
            <v>0</v>
          </cell>
          <cell r="E364">
            <v>423.96</v>
          </cell>
        </row>
        <row r="365">
          <cell r="A365" t="str">
            <v>TJ202512291020000204861</v>
          </cell>
        </row>
        <row r="365">
          <cell r="C365">
            <v>8075.47</v>
          </cell>
          <cell r="D365">
            <v>0</v>
          </cell>
          <cell r="E365">
            <v>484.53</v>
          </cell>
        </row>
        <row r="366">
          <cell r="A366" t="str">
            <v>TJ202512291025000276851</v>
          </cell>
        </row>
        <row r="366">
          <cell r="C366">
            <v>8075.47</v>
          </cell>
          <cell r="D366">
            <v>0</v>
          </cell>
          <cell r="E366">
            <v>484.53</v>
          </cell>
        </row>
        <row r="367">
          <cell r="A367" t="str">
            <v>TJ202512291404000370907</v>
          </cell>
        </row>
        <row r="367">
          <cell r="C367">
            <v>0</v>
          </cell>
          <cell r="D367">
            <v>128965.38</v>
          </cell>
          <cell r="E367">
            <v>0</v>
          </cell>
        </row>
        <row r="368">
          <cell r="A368" t="str">
            <v>TJ202512291533000382157</v>
          </cell>
        </row>
        <row r="368">
          <cell r="C368">
            <v>12355.03</v>
          </cell>
          <cell r="D368">
            <v>0</v>
          </cell>
          <cell r="E368">
            <v>741.3</v>
          </cell>
        </row>
        <row r="369">
          <cell r="A369" t="str">
            <v>TJ202512291535000223643</v>
          </cell>
        </row>
        <row r="369">
          <cell r="C369">
            <v>732945.07</v>
          </cell>
          <cell r="D369">
            <v>0</v>
          </cell>
          <cell r="E369">
            <v>43976.71</v>
          </cell>
        </row>
        <row r="370">
          <cell r="A370" t="str">
            <v>TJ202512291535000231995</v>
          </cell>
        </row>
        <row r="370">
          <cell r="C370">
            <v>12083.28</v>
          </cell>
          <cell r="D370">
            <v>0</v>
          </cell>
          <cell r="E370">
            <v>725</v>
          </cell>
        </row>
        <row r="371">
          <cell r="A371" t="str">
            <v>TJ202512291545000192210</v>
          </cell>
        </row>
        <row r="371">
          <cell r="C371">
            <v>1113.55</v>
          </cell>
          <cell r="D371">
            <v>0</v>
          </cell>
          <cell r="E371">
            <v>66.81</v>
          </cell>
        </row>
        <row r="372">
          <cell r="A372" t="str">
            <v>TJ202512291602000166573</v>
          </cell>
        </row>
        <row r="372">
          <cell r="C372">
            <v>228.57</v>
          </cell>
          <cell r="D372">
            <v>33275</v>
          </cell>
          <cell r="E372">
            <v>11.43</v>
          </cell>
        </row>
        <row r="373">
          <cell r="A373" t="str">
            <v>TJ202512291758000132248</v>
          </cell>
        </row>
        <row r="373">
          <cell r="C373">
            <v>0</v>
          </cell>
          <cell r="D373">
            <v>7500</v>
          </cell>
          <cell r="E373">
            <v>0</v>
          </cell>
        </row>
        <row r="374">
          <cell r="A374" t="str">
            <v>TJ202512300926000349918</v>
          </cell>
        </row>
        <row r="374">
          <cell r="C374">
            <v>1837.87</v>
          </cell>
          <cell r="D374">
            <v>0</v>
          </cell>
          <cell r="E374">
            <v>110.27</v>
          </cell>
        </row>
        <row r="375">
          <cell r="A375" t="str">
            <v>TJ202512300929000004088</v>
          </cell>
        </row>
        <row r="375">
          <cell r="C375">
            <v>2624.53</v>
          </cell>
          <cell r="D375">
            <v>0</v>
          </cell>
          <cell r="E375">
            <v>157.47</v>
          </cell>
        </row>
        <row r="376">
          <cell r="A376" t="str">
            <v>TJ202512300937000326641</v>
          </cell>
        </row>
        <row r="376">
          <cell r="C376">
            <v>2641.51</v>
          </cell>
          <cell r="D376">
            <v>0</v>
          </cell>
          <cell r="E376">
            <v>158.49</v>
          </cell>
        </row>
        <row r="377">
          <cell r="A377" t="str">
            <v>TJ202512300946000121675</v>
          </cell>
        </row>
        <row r="377">
          <cell r="C377">
            <v>233804.23</v>
          </cell>
          <cell r="D377">
            <v>0</v>
          </cell>
          <cell r="E377">
            <v>14028.25</v>
          </cell>
        </row>
        <row r="378">
          <cell r="A378" t="str">
            <v>TJ202512300946000347304</v>
          </cell>
        </row>
        <row r="378">
          <cell r="C378">
            <v>266.67</v>
          </cell>
          <cell r="D378">
            <v>28701.65</v>
          </cell>
          <cell r="E378">
            <v>13.33</v>
          </cell>
        </row>
        <row r="379">
          <cell r="A379" t="str">
            <v>TJ202512300950000585966</v>
          </cell>
        </row>
        <row r="379">
          <cell r="C379">
            <v>171.43</v>
          </cell>
          <cell r="D379">
            <v>15759.36</v>
          </cell>
          <cell r="E379">
            <v>8.57</v>
          </cell>
        </row>
        <row r="380">
          <cell r="A380" t="str">
            <v>TJ202512300952000257342</v>
          </cell>
        </row>
        <row r="380">
          <cell r="C380">
            <v>0</v>
          </cell>
          <cell r="D380">
            <v>1283.33</v>
          </cell>
          <cell r="E380">
            <v>0</v>
          </cell>
        </row>
        <row r="381">
          <cell r="A381" t="str">
            <v>TJ202512301014000150156</v>
          </cell>
        </row>
        <row r="381">
          <cell r="C381">
            <v>36928.54</v>
          </cell>
          <cell r="D381">
            <v>0</v>
          </cell>
          <cell r="E381">
            <v>2215.71</v>
          </cell>
        </row>
        <row r="382">
          <cell r="A382" t="str">
            <v>TJ202512301016000586685</v>
          </cell>
        </row>
        <row r="382">
          <cell r="C382">
            <v>556240.77</v>
          </cell>
          <cell r="D382">
            <v>0</v>
          </cell>
          <cell r="E382">
            <v>33374.45</v>
          </cell>
        </row>
        <row r="383">
          <cell r="A383" t="str">
            <v>TJ202512301020000572997</v>
          </cell>
        </row>
        <row r="383">
          <cell r="C383">
            <v>851.99</v>
          </cell>
          <cell r="D383">
            <v>0</v>
          </cell>
          <cell r="E383">
            <v>51.12</v>
          </cell>
        </row>
        <row r="384">
          <cell r="A384" t="str">
            <v>TJ202512301036000086917</v>
          </cell>
        </row>
        <row r="384">
          <cell r="C384">
            <v>114.29</v>
          </cell>
          <cell r="D384">
            <v>9312.97</v>
          </cell>
          <cell r="E384">
            <v>5.71</v>
          </cell>
        </row>
        <row r="385">
          <cell r="A385" t="str">
            <v>TJ202512301040000128940</v>
          </cell>
        </row>
        <row r="385">
          <cell r="C385">
            <v>0</v>
          </cell>
          <cell r="D385">
            <v>408.86</v>
          </cell>
          <cell r="E385">
            <v>0</v>
          </cell>
        </row>
        <row r="386">
          <cell r="A386" t="str">
            <v>TJ202512301111000301430</v>
          </cell>
        </row>
        <row r="386">
          <cell r="C386">
            <v>4981.13</v>
          </cell>
          <cell r="D386">
            <v>0</v>
          </cell>
          <cell r="E386">
            <v>298.87</v>
          </cell>
        </row>
        <row r="387">
          <cell r="A387" t="str">
            <v>TJ202512301116000121485</v>
          </cell>
        </row>
        <row r="387">
          <cell r="C387">
            <v>114.29</v>
          </cell>
          <cell r="D387">
            <v>9637.25</v>
          </cell>
          <cell r="E387">
            <v>5.71</v>
          </cell>
        </row>
        <row r="388">
          <cell r="A388" t="str">
            <v>TJ202512301119000440803</v>
          </cell>
        </row>
        <row r="388">
          <cell r="C388">
            <v>832.08</v>
          </cell>
          <cell r="D388">
            <v>0</v>
          </cell>
          <cell r="E388">
            <v>49.92</v>
          </cell>
        </row>
        <row r="389">
          <cell r="A389" t="str">
            <v>TJ202512301122000378608</v>
          </cell>
        </row>
        <row r="389">
          <cell r="C389">
            <v>900</v>
          </cell>
          <cell r="D389">
            <v>47684.76</v>
          </cell>
          <cell r="E389">
            <v>45</v>
          </cell>
        </row>
        <row r="390">
          <cell r="A390" t="str">
            <v>TJ202512301127000238472</v>
          </cell>
        </row>
        <row r="390">
          <cell r="C390">
            <v>152.38</v>
          </cell>
          <cell r="D390">
            <v>15441.84</v>
          </cell>
          <cell r="E390">
            <v>7.62</v>
          </cell>
        </row>
        <row r="391">
          <cell r="A391" t="str">
            <v>TJ202512301140000224673</v>
          </cell>
        </row>
        <row r="391">
          <cell r="C391">
            <v>2111088.3</v>
          </cell>
          <cell r="D391">
            <v>0</v>
          </cell>
          <cell r="E391">
            <v>126665.3</v>
          </cell>
        </row>
        <row r="392">
          <cell r="A392" t="str">
            <v>TJ202512301144000390493</v>
          </cell>
        </row>
        <row r="392">
          <cell r="C392">
            <v>214.29</v>
          </cell>
          <cell r="D392">
            <v>27568.95</v>
          </cell>
          <cell r="E392">
            <v>10.71</v>
          </cell>
        </row>
        <row r="393">
          <cell r="A393" t="str">
            <v>TJ202512301356000314802</v>
          </cell>
        </row>
        <row r="393">
          <cell r="C393">
            <v>792.38</v>
          </cell>
          <cell r="D393">
            <v>97758.65</v>
          </cell>
          <cell r="E393">
            <v>39.62</v>
          </cell>
        </row>
        <row r="394">
          <cell r="A394" t="str">
            <v>TJ202512301605000314800</v>
          </cell>
        </row>
        <row r="394">
          <cell r="C394">
            <v>47.17</v>
          </cell>
          <cell r="D394">
            <v>0</v>
          </cell>
          <cell r="E394">
            <v>2.83</v>
          </cell>
        </row>
        <row r="395">
          <cell r="A395" t="str">
            <v>TJ202512301607000226898</v>
          </cell>
        </row>
        <row r="395">
          <cell r="C395">
            <v>121120.44</v>
          </cell>
          <cell r="D395">
            <v>0</v>
          </cell>
          <cell r="E395">
            <v>7267.23</v>
          </cell>
        </row>
        <row r="396">
          <cell r="A396" t="str">
            <v>TJ202512301609000484786</v>
          </cell>
        </row>
        <row r="396">
          <cell r="C396">
            <v>371.43</v>
          </cell>
          <cell r="D396">
            <v>24797.15</v>
          </cell>
          <cell r="E396">
            <v>18.57</v>
          </cell>
        </row>
        <row r="397">
          <cell r="A397" t="str">
            <v>TJ202512301628000192633</v>
          </cell>
        </row>
        <row r="397">
          <cell r="C397">
            <v>2057.14</v>
          </cell>
          <cell r="D397">
            <v>149016.86</v>
          </cell>
          <cell r="E397">
            <v>102.86</v>
          </cell>
        </row>
        <row r="398">
          <cell r="A398" t="str">
            <v>TJ202512301732000267119</v>
          </cell>
        </row>
        <row r="398">
          <cell r="C398">
            <v>56262.66</v>
          </cell>
          <cell r="D398">
            <v>0</v>
          </cell>
          <cell r="E398">
            <v>3375.76</v>
          </cell>
        </row>
        <row r="399">
          <cell r="A399" t="str">
            <v>TJ202512301854000190246</v>
          </cell>
        </row>
        <row r="399">
          <cell r="C399">
            <v>437724.46</v>
          </cell>
          <cell r="D399">
            <v>0</v>
          </cell>
          <cell r="E399">
            <v>26263.45</v>
          </cell>
        </row>
        <row r="400">
          <cell r="A400" t="str">
            <v>TJ202512301905000431874</v>
          </cell>
        </row>
        <row r="400">
          <cell r="C400">
            <v>3910</v>
          </cell>
          <cell r="D400">
            <v>465341.74</v>
          </cell>
          <cell r="E400">
            <v>195.5</v>
          </cell>
        </row>
        <row r="401">
          <cell r="A401" t="str">
            <v>TJ202512301909000258823</v>
          </cell>
        </row>
        <row r="401">
          <cell r="C401">
            <v>460</v>
          </cell>
          <cell r="D401">
            <v>56701.43</v>
          </cell>
          <cell r="E401">
            <v>23</v>
          </cell>
        </row>
        <row r="402">
          <cell r="A402" t="str">
            <v>TJ202512301911000243770</v>
          </cell>
        </row>
        <row r="402">
          <cell r="C402">
            <v>92</v>
          </cell>
          <cell r="D402">
            <v>6459.84</v>
          </cell>
          <cell r="E402">
            <v>4.6</v>
          </cell>
        </row>
        <row r="403">
          <cell r="A403" t="str">
            <v>TJ202512301913000487541</v>
          </cell>
        </row>
        <row r="403">
          <cell r="C403">
            <v>782</v>
          </cell>
          <cell r="D403">
            <v>100926.82</v>
          </cell>
          <cell r="E403">
            <v>39.1</v>
          </cell>
        </row>
        <row r="404">
          <cell r="A404" t="str">
            <v>TJ202512310923000142285</v>
          </cell>
        </row>
        <row r="404">
          <cell r="C404">
            <v>285.71</v>
          </cell>
          <cell r="D404">
            <v>20711.53</v>
          </cell>
          <cell r="E404">
            <v>14.29</v>
          </cell>
        </row>
        <row r="405">
          <cell r="A405" t="str">
            <v>TJ202512310940000165824</v>
          </cell>
        </row>
        <row r="405">
          <cell r="C405">
            <v>190.48</v>
          </cell>
          <cell r="D405">
            <v>20212.55</v>
          </cell>
          <cell r="E405">
            <v>9.52</v>
          </cell>
        </row>
        <row r="406">
          <cell r="A406" t="str">
            <v>TJ202512311016000155160</v>
          </cell>
        </row>
        <row r="406">
          <cell r="C406">
            <v>8677.36</v>
          </cell>
          <cell r="D406">
            <v>0</v>
          </cell>
          <cell r="E406">
            <v>520.64</v>
          </cell>
        </row>
        <row r="407">
          <cell r="A407" t="str">
            <v>TJ202512311211000496411</v>
          </cell>
        </row>
        <row r="407">
          <cell r="C407">
            <v>186846.95</v>
          </cell>
          <cell r="D407">
            <v>0</v>
          </cell>
          <cell r="E407">
            <v>11210.82</v>
          </cell>
        </row>
        <row r="408">
          <cell r="A408" t="str">
            <v>TJ202512311447000411107</v>
          </cell>
        </row>
        <row r="408">
          <cell r="C408">
            <v>83783.53</v>
          </cell>
          <cell r="D408">
            <v>0</v>
          </cell>
          <cell r="E408">
            <v>5027.01</v>
          </cell>
        </row>
        <row r="409">
          <cell r="A409" t="str">
            <v>TJ202512311453000016862</v>
          </cell>
        </row>
        <row r="409">
          <cell r="C409">
            <v>108950.84</v>
          </cell>
          <cell r="D409">
            <v>0</v>
          </cell>
          <cell r="E409">
            <v>6537.05</v>
          </cell>
        </row>
        <row r="410">
          <cell r="A410" t="str">
            <v>TJ202512311500000147329</v>
          </cell>
        </row>
        <row r="410">
          <cell r="C410">
            <v>15260.57</v>
          </cell>
          <cell r="D410">
            <v>0</v>
          </cell>
          <cell r="E410">
            <v>915.63</v>
          </cell>
        </row>
        <row r="411">
          <cell r="A411" t="str">
            <v>TJ202512311615000468650</v>
          </cell>
        </row>
        <row r="411">
          <cell r="C411">
            <v>96302.6</v>
          </cell>
          <cell r="D411">
            <v>0</v>
          </cell>
          <cell r="E411">
            <v>5778.16</v>
          </cell>
        </row>
        <row r="412">
          <cell r="A412" t="str">
            <v>TJ202512311803000241289</v>
          </cell>
        </row>
        <row r="412">
          <cell r="C412">
            <v>102593.08</v>
          </cell>
          <cell r="D412">
            <v>0</v>
          </cell>
          <cell r="E412">
            <v>6155.59</v>
          </cell>
        </row>
        <row r="413">
          <cell r="A413" t="str">
            <v>TJ202512021519000271014-1</v>
          </cell>
        </row>
        <row r="413">
          <cell r="C413">
            <v>309.52</v>
          </cell>
          <cell r="D413">
            <v>28528.58</v>
          </cell>
          <cell r="E413">
            <v>15.48</v>
          </cell>
        </row>
        <row r="414">
          <cell r="A414" t="str">
            <v>TJ202511281633000173184</v>
          </cell>
        </row>
        <row r="414">
          <cell r="C414">
            <v>92</v>
          </cell>
          <cell r="D414">
            <v>15390.61</v>
          </cell>
          <cell r="E414">
            <v>4.6</v>
          </cell>
        </row>
        <row r="415">
          <cell r="A415" t="str">
            <v>TJ202511281636000077809</v>
          </cell>
        </row>
        <row r="415">
          <cell r="C415">
            <v>46</v>
          </cell>
          <cell r="D415">
            <v>11673.9</v>
          </cell>
          <cell r="E415">
            <v>2.3</v>
          </cell>
        </row>
        <row r="416">
          <cell r="A416" t="str">
            <v>TJ202511281638000134438</v>
          </cell>
        </row>
        <row r="416">
          <cell r="C416">
            <v>414</v>
          </cell>
          <cell r="D416">
            <v>47133.47</v>
          </cell>
          <cell r="E416">
            <v>20.7</v>
          </cell>
        </row>
        <row r="417">
          <cell r="A417" t="str">
            <v>TJ202511281639000237423</v>
          </cell>
        </row>
        <row r="417">
          <cell r="C417">
            <v>184</v>
          </cell>
          <cell r="D417">
            <v>25889.08</v>
          </cell>
          <cell r="E417">
            <v>9.2</v>
          </cell>
        </row>
        <row r="418">
          <cell r="A418" t="str">
            <v>TJ202511281641000481459</v>
          </cell>
        </row>
        <row r="418">
          <cell r="C418">
            <v>46</v>
          </cell>
          <cell r="D418">
            <v>6678.9</v>
          </cell>
          <cell r="E418">
            <v>2.3</v>
          </cell>
        </row>
        <row r="419">
          <cell r="A419" t="str">
            <v>TJ202511281643000029104</v>
          </cell>
        </row>
        <row r="419">
          <cell r="C419">
            <v>138</v>
          </cell>
          <cell r="D419">
            <v>14956.64</v>
          </cell>
          <cell r="E419">
            <v>6.9</v>
          </cell>
        </row>
        <row r="420">
          <cell r="A420" t="str">
            <v>TJ202511281644000204785</v>
          </cell>
        </row>
        <row r="420">
          <cell r="C420">
            <v>184</v>
          </cell>
          <cell r="D420">
            <v>14761.68</v>
          </cell>
          <cell r="E420">
            <v>9.2</v>
          </cell>
        </row>
        <row r="421">
          <cell r="A421" t="str">
            <v>TJ202511281645000319134</v>
          </cell>
        </row>
        <row r="421">
          <cell r="C421">
            <v>46</v>
          </cell>
          <cell r="D421">
            <v>4145.9</v>
          </cell>
          <cell r="E421">
            <v>2.3</v>
          </cell>
        </row>
        <row r="422">
          <cell r="A422" t="str">
            <v>TJ202511281646000534129</v>
          </cell>
        </row>
        <row r="422">
          <cell r="C422">
            <v>138</v>
          </cell>
          <cell r="D422">
            <v>20108.08</v>
          </cell>
          <cell r="E422">
            <v>6.9</v>
          </cell>
        </row>
        <row r="423">
          <cell r="A423" t="str">
            <v>TJ202511281648000018806</v>
          </cell>
        </row>
        <row r="423">
          <cell r="C423">
            <v>46</v>
          </cell>
          <cell r="D423">
            <v>6340.45</v>
          </cell>
          <cell r="E423">
            <v>2.3</v>
          </cell>
        </row>
        <row r="424">
          <cell r="A424" t="str">
            <v>TJ202511281648000582425</v>
          </cell>
        </row>
        <row r="424">
          <cell r="C424">
            <v>598</v>
          </cell>
          <cell r="D424">
            <v>76370.6</v>
          </cell>
          <cell r="E424">
            <v>29.9</v>
          </cell>
        </row>
        <row r="425">
          <cell r="A425" t="str">
            <v>TJ202511281703000400609</v>
          </cell>
        </row>
        <row r="425">
          <cell r="C425">
            <v>1012</v>
          </cell>
          <cell r="D425">
            <v>100081.12</v>
          </cell>
          <cell r="E425">
            <v>50.6</v>
          </cell>
        </row>
        <row r="426">
          <cell r="A426" t="str">
            <v>TJ202511281704000585051</v>
          </cell>
        </row>
        <row r="426">
          <cell r="C426">
            <v>46</v>
          </cell>
          <cell r="D426">
            <v>7373.38</v>
          </cell>
          <cell r="E426">
            <v>2.3</v>
          </cell>
        </row>
        <row r="427">
          <cell r="A427" t="str">
            <v>TJ202511281706000008548</v>
          </cell>
        </row>
        <row r="427">
          <cell r="C427">
            <v>92</v>
          </cell>
          <cell r="D427">
            <v>16427.8</v>
          </cell>
          <cell r="E427">
            <v>4.6</v>
          </cell>
        </row>
        <row r="428">
          <cell r="A428" t="str">
            <v>TJ202511281707000093213</v>
          </cell>
        </row>
        <row r="428">
          <cell r="C428">
            <v>966</v>
          </cell>
          <cell r="D428">
            <v>114668.27</v>
          </cell>
          <cell r="E428">
            <v>48.3</v>
          </cell>
        </row>
        <row r="429">
          <cell r="A429" t="str">
            <v>TJ202506241527000580802</v>
          </cell>
        </row>
        <row r="429">
          <cell r="C429">
            <v>-48342.58</v>
          </cell>
          <cell r="D429">
            <v>0</v>
          </cell>
          <cell r="E429">
            <v>-2900.55</v>
          </cell>
        </row>
        <row r="430">
          <cell r="A430" t="str">
            <v>TJ202507171634000223572</v>
          </cell>
        </row>
        <row r="430">
          <cell r="C430">
            <v>-198916.49</v>
          </cell>
          <cell r="D430">
            <v>0</v>
          </cell>
          <cell r="E430">
            <v>-11934.99</v>
          </cell>
        </row>
        <row r="431">
          <cell r="A431" t="str">
            <v>TJ202508271031000450207</v>
          </cell>
        </row>
        <row r="431">
          <cell r="C431">
            <v>0</v>
          </cell>
          <cell r="D431">
            <v>380.55</v>
          </cell>
          <cell r="E431">
            <v>0</v>
          </cell>
        </row>
        <row r="432">
          <cell r="A432" t="str">
            <v>TJ202510201433000148480</v>
          </cell>
        </row>
        <row r="432">
          <cell r="C432">
            <v>-2440.02</v>
          </cell>
          <cell r="D432">
            <v>0</v>
          </cell>
          <cell r="E432">
            <v>-146.4</v>
          </cell>
        </row>
        <row r="433">
          <cell r="A433" t="str">
            <v>TJ202510311358000363228</v>
          </cell>
        </row>
        <row r="433">
          <cell r="C433">
            <v>766.67</v>
          </cell>
          <cell r="D433">
            <v>395720.07</v>
          </cell>
          <cell r="E433">
            <v>38.33</v>
          </cell>
        </row>
        <row r="434">
          <cell r="A434" t="str">
            <v>TJ202511051133000576058</v>
          </cell>
        </row>
        <row r="434">
          <cell r="C434">
            <v>22.86</v>
          </cell>
          <cell r="D434">
            <v>163119.3</v>
          </cell>
          <cell r="E434">
            <v>1.14</v>
          </cell>
        </row>
        <row r="435">
          <cell r="A435" t="str">
            <v>TJ202511141423000344390</v>
          </cell>
        </row>
        <row r="435">
          <cell r="C435">
            <v>5.71</v>
          </cell>
          <cell r="D435">
            <v>3597.24</v>
          </cell>
          <cell r="E435">
            <v>0.29</v>
          </cell>
        </row>
        <row r="436">
          <cell r="A436" t="str">
            <v>TJ202511201334000128183</v>
          </cell>
        </row>
        <row r="436">
          <cell r="C436">
            <v>99.05</v>
          </cell>
          <cell r="D436">
            <v>91794.04</v>
          </cell>
          <cell r="E436">
            <v>4.95</v>
          </cell>
        </row>
        <row r="437">
          <cell r="A437" t="str">
            <v>TJ202511211018000583839</v>
          </cell>
        </row>
        <row r="437">
          <cell r="C437">
            <v>-360</v>
          </cell>
          <cell r="D437">
            <v>-12131.99</v>
          </cell>
          <cell r="E437">
            <v>-18</v>
          </cell>
        </row>
        <row r="438">
          <cell r="A438" t="str">
            <v>TJ202511211022000404442</v>
          </cell>
        </row>
        <row r="438">
          <cell r="C438">
            <v>-180</v>
          </cell>
          <cell r="D438">
            <v>-3393.94</v>
          </cell>
          <cell r="E438">
            <v>-9</v>
          </cell>
        </row>
        <row r="439">
          <cell r="A439" t="str">
            <v>TJ202511211513000210268</v>
          </cell>
        </row>
        <row r="439">
          <cell r="C439">
            <v>5.71</v>
          </cell>
          <cell r="D439">
            <v>14442.57</v>
          </cell>
          <cell r="E439">
            <v>0.29</v>
          </cell>
        </row>
        <row r="440">
          <cell r="A440" t="str">
            <v>TJ202511271604000506062</v>
          </cell>
        </row>
        <row r="440">
          <cell r="C440">
            <v>696.67</v>
          </cell>
          <cell r="D440">
            <v>372265.43</v>
          </cell>
          <cell r="E440">
            <v>34.83</v>
          </cell>
        </row>
        <row r="441">
          <cell r="A441" t="str">
            <v>TJ202511281348000480727</v>
          </cell>
        </row>
        <row r="441">
          <cell r="C441">
            <v>0</v>
          </cell>
          <cell r="D441">
            <v>140616.58</v>
          </cell>
          <cell r="E441">
            <v>0</v>
          </cell>
        </row>
        <row r="442">
          <cell r="A442" t="str">
            <v>TJ202511291805000182841</v>
          </cell>
        </row>
        <row r="442">
          <cell r="C442">
            <v>14578.3</v>
          </cell>
          <cell r="D442">
            <v>0</v>
          </cell>
          <cell r="E442">
            <v>874.7</v>
          </cell>
        </row>
        <row r="443">
          <cell r="A443" t="str">
            <v>TJ202512020941000156097</v>
          </cell>
        </row>
        <row r="443">
          <cell r="C443">
            <v>60.95</v>
          </cell>
          <cell r="D443">
            <v>253314.69</v>
          </cell>
          <cell r="E443">
            <v>3.05</v>
          </cell>
        </row>
        <row r="444">
          <cell r="A444" t="str">
            <v>TJ202512021642000007326</v>
          </cell>
        </row>
        <row r="444">
          <cell r="C444">
            <v>80</v>
          </cell>
          <cell r="D444">
            <v>48096.98</v>
          </cell>
          <cell r="E444">
            <v>4</v>
          </cell>
        </row>
        <row r="445">
          <cell r="A445" t="str">
            <v>TJ202512031540000295587</v>
          </cell>
        </row>
        <row r="445">
          <cell r="C445">
            <v>20484.42</v>
          </cell>
          <cell r="D445">
            <v>0</v>
          </cell>
          <cell r="E445">
            <v>1229.07</v>
          </cell>
        </row>
        <row r="446">
          <cell r="A446" t="str">
            <v>TJ202512111413000447977</v>
          </cell>
        </row>
        <row r="446">
          <cell r="C446">
            <v>8.57</v>
          </cell>
          <cell r="D446">
            <v>5395.86</v>
          </cell>
          <cell r="E446">
            <v>0.43</v>
          </cell>
        </row>
        <row r="447">
          <cell r="A447" t="str">
            <v>TJ202512141751000346281</v>
          </cell>
        </row>
        <row r="447">
          <cell r="C447">
            <v>91.43</v>
          </cell>
          <cell r="D447">
            <v>320159.29</v>
          </cell>
          <cell r="E447">
            <v>4.57</v>
          </cell>
        </row>
        <row r="448">
          <cell r="A448" t="str">
            <v>TJ202512151747000440254</v>
          </cell>
        </row>
        <row r="448">
          <cell r="C448">
            <v>285.71</v>
          </cell>
          <cell r="D448">
            <v>79959.97</v>
          </cell>
          <cell r="E448">
            <v>14.29</v>
          </cell>
        </row>
        <row r="449">
          <cell r="A449" t="str">
            <v>TJ202512181248000295642</v>
          </cell>
        </row>
        <row r="449">
          <cell r="C449">
            <v>108.57</v>
          </cell>
          <cell r="D449">
            <v>588988.78</v>
          </cell>
          <cell r="E449">
            <v>5.43</v>
          </cell>
        </row>
        <row r="450">
          <cell r="A450" t="str">
            <v>TJ202512181259000117111</v>
          </cell>
        </row>
        <row r="450">
          <cell r="C450">
            <v>53.33</v>
          </cell>
          <cell r="D450">
            <v>210945.9</v>
          </cell>
          <cell r="E450">
            <v>2.67</v>
          </cell>
        </row>
        <row r="451">
          <cell r="A451" t="str">
            <v>TJ202512191825000019578</v>
          </cell>
        </row>
        <row r="451">
          <cell r="C451">
            <v>0</v>
          </cell>
          <cell r="D451">
            <v>229.89</v>
          </cell>
          <cell r="E451">
            <v>0</v>
          </cell>
        </row>
        <row r="452">
          <cell r="A452" t="str">
            <v>TJ202512251715000341813</v>
          </cell>
        </row>
        <row r="452">
          <cell r="C452">
            <v>30901.75</v>
          </cell>
          <cell r="D452">
            <v>0</v>
          </cell>
          <cell r="E452">
            <v>1854.1</v>
          </cell>
        </row>
        <row r="453">
          <cell r="A453" t="str">
            <v>TJ202512311846000008136</v>
          </cell>
        </row>
        <row r="453">
          <cell r="C453">
            <v>352377.36</v>
          </cell>
          <cell r="D453">
            <v>0</v>
          </cell>
          <cell r="E453">
            <v>21142.64</v>
          </cell>
        </row>
        <row r="454">
          <cell r="A454" t="str">
            <v>TJ202512020912000234377-1</v>
          </cell>
        </row>
        <row r="454">
          <cell r="C454">
            <v>0</v>
          </cell>
          <cell r="D454">
            <v>239913.88</v>
          </cell>
          <cell r="E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 t="e">
            <v>#REF!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78"/>
  <sheetViews>
    <sheetView tabSelected="1" workbookViewId="0">
      <selection activeCell="B378" sqref="B378"/>
    </sheetView>
  </sheetViews>
  <sheetFormatPr defaultColWidth="9" defaultRowHeight="14.4"/>
  <cols>
    <col min="2" max="2" width="27.3333333333333" customWidth="1"/>
    <col min="3" max="3" width="10.2222222222222" customWidth="1"/>
    <col min="4" max="4" width="13.2222222222222" customWidth="1"/>
    <col min="6" max="6" width="11.8888888888889" style="2"/>
    <col min="7" max="7" width="13" style="2"/>
    <col min="8" max="8" width="10.7777777777778" style="2"/>
    <col min="9" max="9" width="13" style="2"/>
    <col min="10" max="10" width="13"/>
    <col min="11" max="11" width="10.7777777777778"/>
    <col min="12" max="12" width="11.8888888888889"/>
    <col min="19" max="19" width="13"/>
    <col min="21" max="21" width="18.7777777777778" customWidth="1"/>
    <col min="22" max="22" width="13" customWidth="1"/>
  </cols>
  <sheetData>
    <row r="1" spans="1:4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6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s="1" customFormat="1" spans="1:44">
      <c r="A2" s="7" t="s">
        <v>44</v>
      </c>
      <c r="B2" s="7" t="s">
        <v>45</v>
      </c>
      <c r="C2" s="8" t="s">
        <v>46</v>
      </c>
      <c r="D2" s="7" t="s">
        <v>47</v>
      </c>
      <c r="E2" s="7" t="s">
        <v>48</v>
      </c>
      <c r="F2" s="5" t="e">
        <f>ROUND(SUMIF([1]开票!$A$2:$A$1750,[1]申请!AQ2,[1]开票!$C$2:$C$1750),2)</f>
        <v>#VALUE!</v>
      </c>
      <c r="G2" s="5">
        <f>ROUND(SUMIF([1]开票!$A$2:$A$1750,[1]申请!AQ2,[1]开票!$D$2:$D$1750),2)</f>
        <v>33275</v>
      </c>
      <c r="H2" s="5">
        <f>ROUND(SUMIF([1]开票!$A$2:$A$1750,[1]申请!AQ2,[1]开票!$E$2:$E$1750),2)</f>
        <v>11.43</v>
      </c>
      <c r="I2" s="5" t="e" cm="1">
        <f ca="1" t="array" ref="I2">SUM(B3F2:H2)</f>
        <v>#NAME?</v>
      </c>
      <c r="J2" s="7"/>
      <c r="K2" s="7">
        <v>240</v>
      </c>
      <c r="L2" s="7"/>
      <c r="M2" s="7"/>
      <c r="N2" s="9"/>
      <c r="O2" s="7"/>
      <c r="P2" s="7"/>
      <c r="Q2" s="7"/>
      <c r="R2" s="7"/>
      <c r="S2" s="7">
        <v>20210.4</v>
      </c>
      <c r="T2" s="7">
        <v>189.6</v>
      </c>
      <c r="U2" s="7">
        <v>8875</v>
      </c>
      <c r="V2" s="7">
        <v>4000</v>
      </c>
      <c r="W2" s="7"/>
      <c r="X2" s="7"/>
      <c r="Y2" s="7"/>
      <c r="Z2" s="7"/>
      <c r="AA2" s="7"/>
      <c r="AB2" s="7"/>
      <c r="AC2" s="7"/>
      <c r="AD2" s="7">
        <f t="shared" ref="AD2:AD65" si="0">SUM(J2:AC2)</f>
        <v>33515</v>
      </c>
      <c r="AE2" s="10">
        <f t="shared" ref="AE2:AE65" si="1">AD2-SUM(J2:AC2)</f>
        <v>0</v>
      </c>
      <c r="AF2" s="11" t="e">
        <f ca="1" t="shared" ref="AF2:AF65" si="2">AD2-I2</f>
        <v>#NAME?</v>
      </c>
      <c r="AG2" s="10">
        <f t="shared" ref="AG2:AG65" si="3">ROUND(H2,2)</f>
        <v>11.43</v>
      </c>
      <c r="AH2" s="10">
        <f t="shared" ref="AH2:AH65" si="4">ROUND(AG2*0.07,2)</f>
        <v>0.8</v>
      </c>
      <c r="AI2" s="10">
        <f t="shared" ref="AI2:AI65" si="5">ROUND(AG2*0.03,2)</f>
        <v>0.34</v>
      </c>
      <c r="AJ2" s="10">
        <f t="shared" ref="AJ2:AJ65" si="6">ROUND(AG2*0.02,2)</f>
        <v>0.23</v>
      </c>
      <c r="AK2" s="10">
        <f t="shared" ref="AK2:AK65" si="7">IF(AR2,Y2/(AR2*1.12)*AR2,0)</f>
        <v>0</v>
      </c>
      <c r="AL2" s="10">
        <f t="shared" ref="AL2:AL65" si="8">ROUND(Y2-AK2,2)</f>
        <v>0</v>
      </c>
      <c r="AM2" s="10">
        <f t="shared" ref="AM2:AM65" si="9">ROUND(AG2-AK2,2)</f>
        <v>11.43</v>
      </c>
      <c r="AN2" s="10">
        <f t="shared" ref="AN2:AN65" si="10">ROUND(AM2*0.07,2)</f>
        <v>0.8</v>
      </c>
      <c r="AO2" s="10">
        <f t="shared" ref="AO2:AO65" si="11">ROUND(AM2*0.03,2)</f>
        <v>0.34</v>
      </c>
      <c r="AP2" s="10">
        <f t="shared" ref="AP2:AP65" si="12">ROUND(AH2+AI2+AJ2-AL2-AN2-AO2,2)</f>
        <v>0.23</v>
      </c>
      <c r="AQ2" s="10" t="str">
        <f t="shared" ref="AQ2:AQ65" si="13">"TJ"&amp;A2</f>
        <v>TJ202512010914000217639</v>
      </c>
      <c r="AR2" s="10">
        <f t="shared" ref="AR2:AR65" si="14">IF(E2="无全额",0,MID(E2,4,2)*1)</f>
        <v>0.05</v>
      </c>
    </row>
    <row r="3" spans="1:44">
      <c r="A3" s="12" t="s">
        <v>49</v>
      </c>
      <c r="B3" s="12" t="s">
        <v>50</v>
      </c>
      <c r="C3" s="12" t="s">
        <v>46</v>
      </c>
      <c r="D3" s="12" t="s">
        <v>47</v>
      </c>
      <c r="E3" s="12" t="s">
        <v>51</v>
      </c>
      <c r="F3" s="5" t="e">
        <f>ROUND(SUMIF([1]开票!$A$2:$A$1750,[1]申请!AQ3,[1]开票!$C$2:$C$1750),2)</f>
        <v>#VALUE!</v>
      </c>
      <c r="G3" s="5">
        <f>ROUND(SUMIF([1]开票!$A$2:$A$1750,[1]申请!AQ3,[1]开票!$D$2:$D$1750),2)</f>
        <v>0</v>
      </c>
      <c r="H3" s="5">
        <f>ROUND(SUMIF([1]开票!$A$2:$A$1750,[1]申请!AQ3,[1]开票!$E$2:$E$1750),2)</f>
        <v>550.13</v>
      </c>
      <c r="I3" s="5" t="e">
        <f t="shared" ref="I2:I65" si="15">SUM(F3:H3)</f>
        <v>#VALUE!</v>
      </c>
      <c r="J3" s="12">
        <v>115.19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>
        <v>604.73</v>
      </c>
      <c r="Z3" s="12"/>
      <c r="AA3" s="12">
        <v>8999</v>
      </c>
      <c r="AB3" s="12"/>
      <c r="AC3" s="12"/>
      <c r="AD3" s="12">
        <f t="shared" si="0"/>
        <v>9718.92</v>
      </c>
      <c r="AE3" s="13">
        <f t="shared" si="1"/>
        <v>0</v>
      </c>
      <c r="AF3" s="14" t="e">
        <f t="shared" si="2"/>
        <v>#VALUE!</v>
      </c>
      <c r="AG3" s="13">
        <f t="shared" si="3"/>
        <v>550.13</v>
      </c>
      <c r="AH3" s="13">
        <f t="shared" si="4"/>
        <v>38.51</v>
      </c>
      <c r="AI3" s="13">
        <f t="shared" si="5"/>
        <v>16.5</v>
      </c>
      <c r="AJ3" s="13">
        <f t="shared" si="6"/>
        <v>11</v>
      </c>
      <c r="AK3" s="13">
        <f t="shared" si="7"/>
        <v>539.9375</v>
      </c>
      <c r="AL3" s="13">
        <f t="shared" si="8"/>
        <v>64.79</v>
      </c>
      <c r="AM3" s="13">
        <f t="shared" si="9"/>
        <v>10.19</v>
      </c>
      <c r="AN3" s="13">
        <f t="shared" si="10"/>
        <v>0.71</v>
      </c>
      <c r="AO3" s="13">
        <f t="shared" si="11"/>
        <v>0.31</v>
      </c>
      <c r="AP3" s="13">
        <f t="shared" si="12"/>
        <v>0.2</v>
      </c>
      <c r="AQ3" s="13" t="str">
        <f t="shared" si="13"/>
        <v>TJ202512010936000029991</v>
      </c>
      <c r="AR3" s="13">
        <f t="shared" si="14"/>
        <v>0.06</v>
      </c>
    </row>
    <row r="4" spans="1:44">
      <c r="A4" s="12" t="s">
        <v>52</v>
      </c>
      <c r="B4" s="12" t="s">
        <v>53</v>
      </c>
      <c r="C4" s="12" t="s">
        <v>54</v>
      </c>
      <c r="D4" s="12" t="s">
        <v>55</v>
      </c>
      <c r="E4" s="12" t="s">
        <v>51</v>
      </c>
      <c r="F4" s="5">
        <f>ROUND(SUMIF([1]开票!$A$2:$A$1750,[1]申请!AQ4,[1]开票!$C$2:$C$1750),2)</f>
        <v>8773.58</v>
      </c>
      <c r="G4" s="5">
        <f>ROUND(SUMIF([1]开票!$A$2:$A$1750,[1]申请!AQ4,[1]开票!$D$2:$D$1750),2)</f>
        <v>0</v>
      </c>
      <c r="H4" s="5">
        <f>ROUND(SUMIF([1]开票!$A$2:$A$1750,[1]申请!AQ4,[1]开票!$E$2:$E$1750),2)</f>
        <v>526.42</v>
      </c>
      <c r="I4" s="5">
        <f t="shared" si="15"/>
        <v>9300</v>
      </c>
      <c r="J4" s="12"/>
      <c r="K4" s="12"/>
      <c r="L4" s="12">
        <v>9300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>
        <f t="shared" si="0"/>
        <v>9300</v>
      </c>
      <c r="AE4" s="13">
        <f t="shared" si="1"/>
        <v>0</v>
      </c>
      <c r="AF4" s="14">
        <f t="shared" si="2"/>
        <v>0</v>
      </c>
      <c r="AG4" s="13">
        <f t="shared" si="3"/>
        <v>526.42</v>
      </c>
      <c r="AH4" s="13">
        <f t="shared" si="4"/>
        <v>36.85</v>
      </c>
      <c r="AI4" s="13">
        <f t="shared" si="5"/>
        <v>15.79</v>
      </c>
      <c r="AJ4" s="13">
        <f t="shared" si="6"/>
        <v>10.53</v>
      </c>
      <c r="AK4" s="13">
        <f t="shared" si="7"/>
        <v>0</v>
      </c>
      <c r="AL4" s="13">
        <f t="shared" si="8"/>
        <v>0</v>
      </c>
      <c r="AM4" s="13">
        <f t="shared" si="9"/>
        <v>526.42</v>
      </c>
      <c r="AN4" s="13">
        <f t="shared" si="10"/>
        <v>36.85</v>
      </c>
      <c r="AO4" s="13">
        <f t="shared" si="11"/>
        <v>15.79</v>
      </c>
      <c r="AP4" s="13">
        <f t="shared" si="12"/>
        <v>10.53</v>
      </c>
      <c r="AQ4" s="13" t="str">
        <f t="shared" si="13"/>
        <v>TJ202512010952000277009</v>
      </c>
      <c r="AR4" s="13">
        <f t="shared" si="14"/>
        <v>0.06</v>
      </c>
    </row>
    <row r="5" spans="1:44">
      <c r="A5" s="12" t="s">
        <v>56</v>
      </c>
      <c r="B5" s="12" t="s">
        <v>57</v>
      </c>
      <c r="C5" s="8" t="s">
        <v>54</v>
      </c>
      <c r="D5" s="12" t="s">
        <v>55</v>
      </c>
      <c r="E5" s="12" t="s">
        <v>51</v>
      </c>
      <c r="F5" s="5" t="e">
        <f>ROUND(SUMIF([1]开票!$A$2:$A$1750,[1]申请!AQ5,[1]开票!$C$2:$C$1750),2)</f>
        <v>#VALUE!</v>
      </c>
      <c r="G5" s="5">
        <f>ROUND(SUMIF([1]开票!$A$2:$A$1750,[1]申请!AQ5,[1]开票!$D$2:$D$1750),2)</f>
        <v>0</v>
      </c>
      <c r="H5" s="5">
        <f>ROUND(SUMIF([1]开票!$A$2:$A$1750,[1]申请!AQ5,[1]开票!$E$2:$E$1750),2)</f>
        <v>19285.69</v>
      </c>
      <c r="I5" s="5" t="e">
        <f t="shared" si="15"/>
        <v>#VALUE!</v>
      </c>
      <c r="J5" s="12">
        <v>340713.85</v>
      </c>
      <c r="K5" s="12"/>
      <c r="L5" s="12"/>
      <c r="M5" s="12"/>
      <c r="N5" s="15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>
        <f t="shared" si="0"/>
        <v>340713.85</v>
      </c>
      <c r="AE5" s="13">
        <f t="shared" si="1"/>
        <v>0</v>
      </c>
      <c r="AF5" s="14" t="e">
        <f t="shared" si="2"/>
        <v>#VALUE!</v>
      </c>
      <c r="AG5" s="13">
        <f t="shared" si="3"/>
        <v>19285.69</v>
      </c>
      <c r="AH5" s="13">
        <f t="shared" si="4"/>
        <v>1350</v>
      </c>
      <c r="AI5" s="13">
        <f t="shared" si="5"/>
        <v>578.57</v>
      </c>
      <c r="AJ5" s="13">
        <f t="shared" si="6"/>
        <v>385.71</v>
      </c>
      <c r="AK5" s="13">
        <f t="shared" si="7"/>
        <v>0</v>
      </c>
      <c r="AL5" s="13">
        <f t="shared" si="8"/>
        <v>0</v>
      </c>
      <c r="AM5" s="13">
        <f t="shared" si="9"/>
        <v>19285.69</v>
      </c>
      <c r="AN5" s="13">
        <f t="shared" si="10"/>
        <v>1350</v>
      </c>
      <c r="AO5" s="13">
        <f t="shared" si="11"/>
        <v>578.57</v>
      </c>
      <c r="AP5" s="13">
        <f t="shared" si="12"/>
        <v>385.71</v>
      </c>
      <c r="AQ5" s="13" t="str">
        <f t="shared" si="13"/>
        <v>TJ202512011032000412415</v>
      </c>
      <c r="AR5" s="13">
        <f t="shared" si="14"/>
        <v>0.06</v>
      </c>
    </row>
    <row r="6" spans="1:44">
      <c r="A6" s="12" t="s">
        <v>58</v>
      </c>
      <c r="B6" s="12" t="s">
        <v>59</v>
      </c>
      <c r="C6" s="12" t="s">
        <v>54</v>
      </c>
      <c r="D6" s="12" t="s">
        <v>60</v>
      </c>
      <c r="E6" s="12" t="s">
        <v>51</v>
      </c>
      <c r="F6" s="5">
        <f>ROUND(SUMIF([1]开票!$A$2:$A$1750,[1]申请!AQ6,[1]开票!$C$2:$C$1750),2)</f>
        <v>59984.15</v>
      </c>
      <c r="G6" s="5">
        <f>ROUND(SUMIF([1]开票!$A$2:$A$1750,[1]申请!AQ6,[1]开票!$D$2:$D$1750),2)</f>
        <v>0</v>
      </c>
      <c r="H6" s="5">
        <f>ROUND(SUMIF([1]开票!$A$2:$A$1750,[1]申请!AQ6,[1]开票!$E$2:$E$1750),2)</f>
        <v>3599.05</v>
      </c>
      <c r="I6" s="5">
        <f t="shared" si="15"/>
        <v>63583.2</v>
      </c>
      <c r="J6" s="12"/>
      <c r="K6" s="12"/>
      <c r="L6" s="12"/>
      <c r="M6" s="12"/>
      <c r="N6" s="16"/>
      <c r="O6" s="12"/>
      <c r="P6" s="12"/>
      <c r="Q6" s="12">
        <v>4127.46</v>
      </c>
      <c r="R6" s="12"/>
      <c r="S6" s="12"/>
      <c r="T6" s="12"/>
      <c r="U6" s="12"/>
      <c r="V6" s="12"/>
      <c r="W6" s="12">
        <v>491.96</v>
      </c>
      <c r="X6" s="12"/>
      <c r="Y6" s="12"/>
      <c r="Z6" s="12">
        <v>58963.78</v>
      </c>
      <c r="AA6" s="12"/>
      <c r="AB6" s="12"/>
      <c r="AC6" s="12"/>
      <c r="AD6" s="12">
        <f t="shared" si="0"/>
        <v>63583.2</v>
      </c>
      <c r="AE6" s="13">
        <f t="shared" si="1"/>
        <v>0</v>
      </c>
      <c r="AF6" s="14">
        <f t="shared" si="2"/>
        <v>0</v>
      </c>
      <c r="AG6" s="13">
        <f t="shared" si="3"/>
        <v>3599.05</v>
      </c>
      <c r="AH6" s="13">
        <f t="shared" si="4"/>
        <v>251.93</v>
      </c>
      <c r="AI6" s="13">
        <f t="shared" si="5"/>
        <v>107.97</v>
      </c>
      <c r="AJ6" s="13">
        <f t="shared" si="6"/>
        <v>71.98</v>
      </c>
      <c r="AK6" s="13">
        <f t="shared" si="7"/>
        <v>0</v>
      </c>
      <c r="AL6" s="13">
        <f t="shared" si="8"/>
        <v>0</v>
      </c>
      <c r="AM6" s="13">
        <f t="shared" si="9"/>
        <v>3599.05</v>
      </c>
      <c r="AN6" s="13">
        <f t="shared" si="10"/>
        <v>251.93</v>
      </c>
      <c r="AO6" s="13">
        <f t="shared" si="11"/>
        <v>107.97</v>
      </c>
      <c r="AP6" s="13">
        <f t="shared" si="12"/>
        <v>71.98</v>
      </c>
      <c r="AQ6" s="13" t="str">
        <f t="shared" si="13"/>
        <v>TJ202512011045000017836</v>
      </c>
      <c r="AR6" s="13">
        <f t="shared" si="14"/>
        <v>0.06</v>
      </c>
    </row>
    <row r="7" spans="1:44">
      <c r="A7" s="12" t="s">
        <v>61</v>
      </c>
      <c r="B7" s="12" t="s">
        <v>59</v>
      </c>
      <c r="C7" s="12" t="s">
        <v>54</v>
      </c>
      <c r="D7" s="12" t="s">
        <v>60</v>
      </c>
      <c r="E7" s="12" t="s">
        <v>51</v>
      </c>
      <c r="F7" s="5">
        <f>ROUND(SUMIF([1]开票!$A$2:$A$1750,[1]申请!AQ7,[1]开票!$C$2:$C$1750),2)</f>
        <v>2624.53</v>
      </c>
      <c r="G7" s="5">
        <f>ROUND(SUMIF([1]开票!$A$2:$A$1750,[1]申请!AQ7,[1]开票!$D$2:$D$1750),2)</f>
        <v>0</v>
      </c>
      <c r="H7" s="5">
        <f>ROUND(SUMIF([1]开票!$A$2:$A$1750,[1]申请!AQ7,[1]开票!$E$2:$E$1750),2)</f>
        <v>157.47</v>
      </c>
      <c r="I7" s="5">
        <f t="shared" si="15"/>
        <v>2782</v>
      </c>
      <c r="J7" s="12"/>
      <c r="K7" s="12"/>
      <c r="L7" s="12"/>
      <c r="M7" s="12"/>
      <c r="N7" s="12"/>
      <c r="O7" s="12"/>
      <c r="P7" s="12"/>
      <c r="Q7" s="12">
        <v>182</v>
      </c>
      <c r="R7" s="12"/>
      <c r="S7" s="12"/>
      <c r="T7" s="12"/>
      <c r="U7" s="12"/>
      <c r="V7" s="12"/>
      <c r="W7" s="12"/>
      <c r="X7" s="12"/>
      <c r="Y7" s="12"/>
      <c r="Z7" s="12">
        <v>2600</v>
      </c>
      <c r="AA7" s="12"/>
      <c r="AB7" s="12"/>
      <c r="AC7" s="12"/>
      <c r="AD7" s="12">
        <f t="shared" si="0"/>
        <v>2782</v>
      </c>
      <c r="AE7" s="13">
        <f t="shared" si="1"/>
        <v>0</v>
      </c>
      <c r="AF7" s="14">
        <f t="shared" si="2"/>
        <v>0</v>
      </c>
      <c r="AG7" s="13">
        <f t="shared" si="3"/>
        <v>157.47</v>
      </c>
      <c r="AH7" s="13">
        <f t="shared" si="4"/>
        <v>11.02</v>
      </c>
      <c r="AI7" s="13">
        <f t="shared" si="5"/>
        <v>4.72</v>
      </c>
      <c r="AJ7" s="13">
        <f t="shared" si="6"/>
        <v>3.15</v>
      </c>
      <c r="AK7" s="13">
        <f t="shared" si="7"/>
        <v>0</v>
      </c>
      <c r="AL7" s="13">
        <f t="shared" si="8"/>
        <v>0</v>
      </c>
      <c r="AM7" s="13">
        <f t="shared" si="9"/>
        <v>157.47</v>
      </c>
      <c r="AN7" s="13">
        <f t="shared" si="10"/>
        <v>11.02</v>
      </c>
      <c r="AO7" s="13">
        <f t="shared" si="11"/>
        <v>4.72</v>
      </c>
      <c r="AP7" s="13">
        <f t="shared" si="12"/>
        <v>3.15</v>
      </c>
      <c r="AQ7" s="13" t="str">
        <f t="shared" si="13"/>
        <v>TJ202512011144000382060</v>
      </c>
      <c r="AR7" s="13">
        <f t="shared" si="14"/>
        <v>0.06</v>
      </c>
    </row>
    <row r="8" spans="1:44">
      <c r="A8" s="12" t="s">
        <v>62</v>
      </c>
      <c r="B8" s="12" t="s">
        <v>59</v>
      </c>
      <c r="C8" s="12" t="s">
        <v>54</v>
      </c>
      <c r="D8" s="12" t="s">
        <v>60</v>
      </c>
      <c r="E8" s="12" t="s">
        <v>51</v>
      </c>
      <c r="F8" s="5">
        <f>ROUND(SUMIF([1]开票!$A$2:$A$1750,[1]申请!AQ8,[1]开票!$C$2:$C$1750),2)</f>
        <v>3755.09</v>
      </c>
      <c r="G8" s="5">
        <f>ROUND(SUMIF([1]开票!$A$2:$A$1750,[1]申请!AQ8,[1]开票!$D$2:$D$1750),2)</f>
        <v>0</v>
      </c>
      <c r="H8" s="5">
        <f>ROUND(SUMIF([1]开票!$A$2:$A$1750,[1]申请!AQ8,[1]开票!$E$2:$E$1750),2)</f>
        <v>225.31</v>
      </c>
      <c r="I8" s="5">
        <f t="shared" si="15"/>
        <v>3980.4</v>
      </c>
      <c r="J8" s="12"/>
      <c r="K8" s="12"/>
      <c r="L8" s="12"/>
      <c r="M8" s="12"/>
      <c r="N8" s="12"/>
      <c r="O8" s="12"/>
      <c r="P8" s="12"/>
      <c r="Q8" s="12">
        <v>260.4</v>
      </c>
      <c r="R8" s="12"/>
      <c r="S8" s="12"/>
      <c r="T8" s="12"/>
      <c r="U8" s="12"/>
      <c r="V8" s="12"/>
      <c r="W8" s="12"/>
      <c r="X8" s="12"/>
      <c r="Y8" s="12"/>
      <c r="Z8" s="12">
        <v>3720</v>
      </c>
      <c r="AA8" s="12"/>
      <c r="AB8" s="12"/>
      <c r="AC8" s="12"/>
      <c r="AD8" s="12">
        <f t="shared" si="0"/>
        <v>3980.4</v>
      </c>
      <c r="AE8" s="13">
        <f t="shared" si="1"/>
        <v>0</v>
      </c>
      <c r="AF8" s="14">
        <f t="shared" si="2"/>
        <v>0</v>
      </c>
      <c r="AG8" s="13">
        <f t="shared" si="3"/>
        <v>225.31</v>
      </c>
      <c r="AH8" s="13">
        <f t="shared" si="4"/>
        <v>15.77</v>
      </c>
      <c r="AI8" s="13">
        <f t="shared" si="5"/>
        <v>6.76</v>
      </c>
      <c r="AJ8" s="13">
        <f t="shared" si="6"/>
        <v>4.51</v>
      </c>
      <c r="AK8" s="13">
        <f t="shared" si="7"/>
        <v>0</v>
      </c>
      <c r="AL8" s="13">
        <f t="shared" si="8"/>
        <v>0</v>
      </c>
      <c r="AM8" s="13">
        <f t="shared" si="9"/>
        <v>225.31</v>
      </c>
      <c r="AN8" s="13">
        <f t="shared" si="10"/>
        <v>15.77</v>
      </c>
      <c r="AO8" s="13">
        <f t="shared" si="11"/>
        <v>6.76</v>
      </c>
      <c r="AP8" s="13">
        <f t="shared" si="12"/>
        <v>4.51</v>
      </c>
      <c r="AQ8" s="13" t="str">
        <f t="shared" si="13"/>
        <v>TJ202512011145000566762</v>
      </c>
      <c r="AR8" s="13">
        <f t="shared" si="14"/>
        <v>0.06</v>
      </c>
    </row>
    <row r="9" spans="1:44">
      <c r="A9" s="12" t="s">
        <v>63</v>
      </c>
      <c r="B9" s="12" t="s">
        <v>64</v>
      </c>
      <c r="C9" s="12" t="s">
        <v>54</v>
      </c>
      <c r="D9" s="12" t="s">
        <v>55</v>
      </c>
      <c r="E9" s="12" t="s">
        <v>65</v>
      </c>
      <c r="F9" s="5" t="e">
        <f>ROUND(SUMIF([1]开票!$A$2:$A$1750,[1]申请!AQ9,[1]开票!$C$2:$C$1750),2)</f>
        <v>#VALUE!</v>
      </c>
      <c r="G9" s="5">
        <f>ROUND(SUMIF([1]开票!$A$2:$A$1750,[1]申请!AQ9,[1]开票!$D$2:$D$1750),2)</f>
        <v>0</v>
      </c>
      <c r="H9" s="5">
        <f>ROUND(SUMIF([1]开票!$A$2:$A$1750,[1]申请!AQ9,[1]开票!$E$2:$E$1750),2)</f>
        <v>4394.8</v>
      </c>
      <c r="I9" s="5" t="e">
        <f t="shared" si="15"/>
        <v>#VALUE!</v>
      </c>
      <c r="J9" s="12"/>
      <c r="K9" s="12"/>
      <c r="L9" s="12">
        <v>77641.54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>
        <f t="shared" si="0"/>
        <v>77641.54</v>
      </c>
      <c r="AE9" s="13">
        <f t="shared" si="1"/>
        <v>0</v>
      </c>
      <c r="AF9" s="14" t="e">
        <f t="shared" si="2"/>
        <v>#VALUE!</v>
      </c>
      <c r="AG9" s="13">
        <f t="shared" si="3"/>
        <v>4394.8</v>
      </c>
      <c r="AH9" s="13">
        <f t="shared" si="4"/>
        <v>307.64</v>
      </c>
      <c r="AI9" s="13">
        <f t="shared" si="5"/>
        <v>131.84</v>
      </c>
      <c r="AJ9" s="13">
        <f t="shared" si="6"/>
        <v>87.9</v>
      </c>
      <c r="AK9" s="13">
        <f t="shared" si="7"/>
        <v>0</v>
      </c>
      <c r="AL9" s="13">
        <f t="shared" si="8"/>
        <v>0</v>
      </c>
      <c r="AM9" s="13">
        <f t="shared" si="9"/>
        <v>4394.8</v>
      </c>
      <c r="AN9" s="13">
        <f t="shared" si="10"/>
        <v>307.64</v>
      </c>
      <c r="AO9" s="13">
        <f t="shared" si="11"/>
        <v>131.84</v>
      </c>
      <c r="AP9" s="13">
        <f t="shared" si="12"/>
        <v>87.9</v>
      </c>
      <c r="AQ9" s="13" t="str">
        <f t="shared" si="13"/>
        <v>TJ202512011203000030494</v>
      </c>
      <c r="AR9" s="13">
        <f t="shared" si="14"/>
        <v>0.06</v>
      </c>
    </row>
    <row r="10" spans="1:44">
      <c r="A10" s="12" t="s">
        <v>66</v>
      </c>
      <c r="B10" s="12" t="s">
        <v>67</v>
      </c>
      <c r="C10" s="12" t="s">
        <v>54</v>
      </c>
      <c r="D10" s="12" t="s">
        <v>55</v>
      </c>
      <c r="E10" s="12" t="s">
        <v>51</v>
      </c>
      <c r="F10" s="5">
        <f>ROUND(SUMIF([1]开票!$A$2:$A$1750,[1]申请!AQ10,[1]开票!$C$2:$C$1750),2)</f>
        <v>25153.77</v>
      </c>
      <c r="G10" s="5">
        <f>ROUND(SUMIF([1]开票!$A$2:$A$1750,[1]申请!AQ10,[1]开票!$D$2:$D$1750),2)</f>
        <v>0</v>
      </c>
      <c r="H10" s="5">
        <f>ROUND(SUMIF([1]开票!$A$2:$A$1750,[1]申请!AQ10,[1]开票!$E$2:$E$1750),2)</f>
        <v>1509.23</v>
      </c>
      <c r="I10" s="5">
        <f t="shared" si="15"/>
        <v>26663</v>
      </c>
      <c r="J10" s="12"/>
      <c r="K10" s="15"/>
      <c r="L10" s="12">
        <v>26663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6"/>
      <c r="AB10" s="16"/>
      <c r="AC10" s="16"/>
      <c r="AD10" s="12">
        <f t="shared" si="0"/>
        <v>26663</v>
      </c>
      <c r="AE10" s="13">
        <f t="shared" si="1"/>
        <v>0</v>
      </c>
      <c r="AF10" s="14">
        <f t="shared" si="2"/>
        <v>0</v>
      </c>
      <c r="AG10" s="13">
        <f t="shared" si="3"/>
        <v>1509.23</v>
      </c>
      <c r="AH10" s="13">
        <f t="shared" si="4"/>
        <v>105.65</v>
      </c>
      <c r="AI10" s="13">
        <f t="shared" si="5"/>
        <v>45.28</v>
      </c>
      <c r="AJ10" s="13">
        <f t="shared" si="6"/>
        <v>30.18</v>
      </c>
      <c r="AK10" s="13">
        <f t="shared" si="7"/>
        <v>0</v>
      </c>
      <c r="AL10" s="13">
        <f t="shared" si="8"/>
        <v>0</v>
      </c>
      <c r="AM10" s="13">
        <f t="shared" si="9"/>
        <v>1509.23</v>
      </c>
      <c r="AN10" s="13">
        <f t="shared" si="10"/>
        <v>105.65</v>
      </c>
      <c r="AO10" s="13">
        <f t="shared" si="11"/>
        <v>45.28</v>
      </c>
      <c r="AP10" s="13">
        <f t="shared" si="12"/>
        <v>30.18</v>
      </c>
      <c r="AQ10" s="13" t="str">
        <f t="shared" si="13"/>
        <v>TJ202512011334000210352</v>
      </c>
      <c r="AR10" s="13">
        <f t="shared" si="14"/>
        <v>0.06</v>
      </c>
    </row>
    <row r="11" spans="1:44">
      <c r="A11" s="12" t="s">
        <v>68</v>
      </c>
      <c r="B11" s="12" t="s">
        <v>69</v>
      </c>
      <c r="C11" s="12" t="s">
        <v>46</v>
      </c>
      <c r="D11" s="12" t="s">
        <v>47</v>
      </c>
      <c r="E11" s="12" t="s">
        <v>48</v>
      </c>
      <c r="F11" s="5" t="e">
        <f>ROUND(SUMIF([1]开票!$A$2:$A$1750,[1]申请!AQ11,[1]开票!$C$2:$C$1750),2)</f>
        <v>#VALUE!</v>
      </c>
      <c r="G11" s="5">
        <f>ROUND(SUMIF([1]开票!$A$2:$A$1750,[1]申请!AQ11,[1]开票!$D$2:$D$1750),2)</f>
        <v>103040.29</v>
      </c>
      <c r="H11" s="5">
        <f>ROUND(SUMIF([1]开票!$A$2:$A$1750,[1]申请!AQ11,[1]开票!$E$2:$E$1750),2)</f>
        <v>39.1</v>
      </c>
      <c r="I11" s="5" t="e">
        <f t="shared" si="15"/>
        <v>#VALUE!</v>
      </c>
      <c r="J11" s="12">
        <v>782</v>
      </c>
      <c r="K11" s="12"/>
      <c r="L11" s="12"/>
      <c r="M11" s="12"/>
      <c r="N11" s="12"/>
      <c r="O11" s="12"/>
      <c r="P11" s="12"/>
      <c r="Q11" s="12"/>
      <c r="R11" s="12"/>
      <c r="S11" s="12">
        <v>84594.74</v>
      </c>
      <c r="T11" s="12">
        <v>264.58</v>
      </c>
      <c r="U11" s="12">
        <v>17874.97</v>
      </c>
      <c r="V11" s="12"/>
      <c r="W11" s="12">
        <v>306</v>
      </c>
      <c r="X11" s="12"/>
      <c r="Y11" s="12">
        <v>39.1</v>
      </c>
      <c r="Z11" s="12"/>
      <c r="AA11" s="12"/>
      <c r="AB11" s="12"/>
      <c r="AC11" s="12"/>
      <c r="AD11" s="12">
        <f t="shared" si="0"/>
        <v>103861.39</v>
      </c>
      <c r="AE11" s="13">
        <f t="shared" si="1"/>
        <v>0</v>
      </c>
      <c r="AF11" s="14" t="e">
        <f t="shared" si="2"/>
        <v>#VALUE!</v>
      </c>
      <c r="AG11" s="13">
        <f t="shared" si="3"/>
        <v>39.1</v>
      </c>
      <c r="AH11" s="13">
        <f t="shared" si="4"/>
        <v>2.74</v>
      </c>
      <c r="AI11" s="13">
        <f t="shared" si="5"/>
        <v>1.17</v>
      </c>
      <c r="AJ11" s="13">
        <f t="shared" si="6"/>
        <v>0.78</v>
      </c>
      <c r="AK11" s="13">
        <f t="shared" si="7"/>
        <v>34.9107142857143</v>
      </c>
      <c r="AL11" s="13">
        <f t="shared" si="8"/>
        <v>4.19</v>
      </c>
      <c r="AM11" s="13">
        <f t="shared" si="9"/>
        <v>4.19</v>
      </c>
      <c r="AN11" s="13">
        <f t="shared" si="10"/>
        <v>0.29</v>
      </c>
      <c r="AO11" s="13">
        <f t="shared" si="11"/>
        <v>0.13</v>
      </c>
      <c r="AP11" s="13">
        <f t="shared" si="12"/>
        <v>0.08</v>
      </c>
      <c r="AQ11" s="13" t="str">
        <f t="shared" si="13"/>
        <v>TJ202512011519000128722</v>
      </c>
      <c r="AR11" s="13">
        <f t="shared" si="14"/>
        <v>0.05</v>
      </c>
    </row>
    <row r="12" spans="1:44">
      <c r="A12" s="12" t="s">
        <v>70</v>
      </c>
      <c r="B12" s="12" t="s">
        <v>71</v>
      </c>
      <c r="C12" s="12" t="s">
        <v>46</v>
      </c>
      <c r="D12" s="12" t="s">
        <v>47</v>
      </c>
      <c r="E12" s="12" t="s">
        <v>48</v>
      </c>
      <c r="F12" s="5">
        <f>ROUND(SUMIF([1]开票!$A$2:$A$1750,[1]申请!AQ12,[1]开票!$C$2:$C$1750),2)</f>
        <v>460</v>
      </c>
      <c r="G12" s="5">
        <f>ROUND(SUMIF([1]开票!$A$2:$A$1750,[1]申请!AQ12,[1]开票!$D$2:$D$1750),2)</f>
        <v>62566.95</v>
      </c>
      <c r="H12" s="5">
        <f>ROUND(SUMIF([1]开票!$A$2:$A$1750,[1]申请!AQ12,[1]开票!$E$2:$E$1750),2)</f>
        <v>23</v>
      </c>
      <c r="I12" s="5">
        <f t="shared" si="15"/>
        <v>63049.95</v>
      </c>
      <c r="J12" s="12">
        <v>460</v>
      </c>
      <c r="K12" s="12"/>
      <c r="L12" s="12"/>
      <c r="M12" s="12"/>
      <c r="N12" s="12"/>
      <c r="O12" s="12"/>
      <c r="P12" s="12"/>
      <c r="Q12" s="12"/>
      <c r="R12" s="12"/>
      <c r="S12" s="12">
        <v>52661.58</v>
      </c>
      <c r="T12" s="12">
        <v>90.3</v>
      </c>
      <c r="U12" s="12">
        <v>9635.07</v>
      </c>
      <c r="V12" s="12"/>
      <c r="W12" s="12">
        <v>180</v>
      </c>
      <c r="X12" s="12"/>
      <c r="Y12" s="12">
        <v>23</v>
      </c>
      <c r="Z12" s="12"/>
      <c r="AA12" s="12"/>
      <c r="AB12" s="12"/>
      <c r="AC12" s="12"/>
      <c r="AD12" s="12">
        <f t="shared" si="0"/>
        <v>63049.95</v>
      </c>
      <c r="AE12" s="13">
        <f t="shared" si="1"/>
        <v>0</v>
      </c>
      <c r="AF12" s="14">
        <f t="shared" si="2"/>
        <v>0</v>
      </c>
      <c r="AG12" s="13">
        <f t="shared" si="3"/>
        <v>23</v>
      </c>
      <c r="AH12" s="13">
        <f t="shared" si="4"/>
        <v>1.61</v>
      </c>
      <c r="AI12" s="13">
        <f t="shared" si="5"/>
        <v>0.69</v>
      </c>
      <c r="AJ12" s="13">
        <f t="shared" si="6"/>
        <v>0.46</v>
      </c>
      <c r="AK12" s="13">
        <f t="shared" si="7"/>
        <v>20.5357142857143</v>
      </c>
      <c r="AL12" s="13">
        <f t="shared" si="8"/>
        <v>2.46</v>
      </c>
      <c r="AM12" s="13">
        <f t="shared" si="9"/>
        <v>2.46</v>
      </c>
      <c r="AN12" s="13">
        <f t="shared" si="10"/>
        <v>0.17</v>
      </c>
      <c r="AO12" s="13">
        <f t="shared" si="11"/>
        <v>0.07</v>
      </c>
      <c r="AP12" s="13">
        <f t="shared" si="12"/>
        <v>0.06</v>
      </c>
      <c r="AQ12" s="13" t="str">
        <f t="shared" si="13"/>
        <v>TJ202512011524000290727</v>
      </c>
      <c r="AR12" s="13">
        <f t="shared" si="14"/>
        <v>0.05</v>
      </c>
    </row>
    <row r="13" spans="1:44">
      <c r="A13" s="12" t="s">
        <v>72</v>
      </c>
      <c r="B13" s="12" t="s">
        <v>71</v>
      </c>
      <c r="C13" s="12" t="s">
        <v>46</v>
      </c>
      <c r="D13" s="12" t="s">
        <v>47</v>
      </c>
      <c r="E13" s="12" t="s">
        <v>48</v>
      </c>
      <c r="F13" s="5">
        <f>ROUND(SUMIF([1]开票!$A$2:$A$1750,[1]申请!AQ13,[1]开票!$C$2:$C$1750),2)</f>
        <v>92</v>
      </c>
      <c r="G13" s="5">
        <f>ROUND(SUMIF([1]开票!$A$2:$A$1750,[1]申请!AQ13,[1]开票!$D$2:$D$1750),2)</f>
        <v>6459.84</v>
      </c>
      <c r="H13" s="5">
        <f>ROUND(SUMIF([1]开票!$A$2:$A$1750,[1]申请!AQ13,[1]开票!$E$2:$E$1750),2)</f>
        <v>4.6</v>
      </c>
      <c r="I13" s="5">
        <f t="shared" si="15"/>
        <v>6556.44</v>
      </c>
      <c r="J13" s="12">
        <v>92</v>
      </c>
      <c r="K13" s="12"/>
      <c r="L13" s="12"/>
      <c r="M13" s="12"/>
      <c r="N13" s="12"/>
      <c r="O13" s="12"/>
      <c r="P13" s="12"/>
      <c r="Q13" s="12"/>
      <c r="R13" s="12"/>
      <c r="S13" s="12">
        <v>6400</v>
      </c>
      <c r="T13" s="12">
        <v>0</v>
      </c>
      <c r="U13" s="12">
        <v>23.84</v>
      </c>
      <c r="V13" s="12"/>
      <c r="W13" s="12">
        <v>36</v>
      </c>
      <c r="X13" s="12"/>
      <c r="Y13" s="12">
        <v>4.6</v>
      </c>
      <c r="Z13" s="12"/>
      <c r="AA13" s="12"/>
      <c r="AB13" s="12"/>
      <c r="AC13" s="12"/>
      <c r="AD13" s="12">
        <f t="shared" si="0"/>
        <v>6556.44</v>
      </c>
      <c r="AE13" s="13">
        <f t="shared" si="1"/>
        <v>0</v>
      </c>
      <c r="AF13" s="14">
        <f t="shared" si="2"/>
        <v>0</v>
      </c>
      <c r="AG13" s="13">
        <f t="shared" si="3"/>
        <v>4.6</v>
      </c>
      <c r="AH13" s="13">
        <f t="shared" si="4"/>
        <v>0.32</v>
      </c>
      <c r="AI13" s="13">
        <f t="shared" si="5"/>
        <v>0.14</v>
      </c>
      <c r="AJ13" s="13">
        <f t="shared" si="6"/>
        <v>0.09</v>
      </c>
      <c r="AK13" s="13">
        <f t="shared" si="7"/>
        <v>4.10714285714286</v>
      </c>
      <c r="AL13" s="13">
        <f t="shared" si="8"/>
        <v>0.49</v>
      </c>
      <c r="AM13" s="13">
        <f t="shared" si="9"/>
        <v>0.49</v>
      </c>
      <c r="AN13" s="13">
        <f t="shared" si="10"/>
        <v>0.03</v>
      </c>
      <c r="AO13" s="13">
        <f t="shared" si="11"/>
        <v>0.01</v>
      </c>
      <c r="AP13" s="13">
        <f t="shared" si="12"/>
        <v>0.02</v>
      </c>
      <c r="AQ13" s="13" t="str">
        <f t="shared" si="13"/>
        <v>TJ202512011528000448156</v>
      </c>
      <c r="AR13" s="13">
        <f t="shared" si="14"/>
        <v>0.05</v>
      </c>
    </row>
    <row r="14" spans="1:44">
      <c r="A14" s="12" t="s">
        <v>73</v>
      </c>
      <c r="B14" s="12" t="s">
        <v>74</v>
      </c>
      <c r="C14" s="12" t="s">
        <v>46</v>
      </c>
      <c r="D14" s="12" t="s">
        <v>47</v>
      </c>
      <c r="E14" s="12" t="s">
        <v>48</v>
      </c>
      <c r="F14" s="5">
        <f>ROUND(SUMIF([1]开票!$A$2:$A$1750,[1]申请!AQ14,[1]开票!$C$2:$C$1750),2)</f>
        <v>2042.85</v>
      </c>
      <c r="G14" s="5">
        <f>ROUND(SUMIF([1]开票!$A$2:$A$1750,[1]申请!AQ14,[1]开票!$D$2:$D$1750),2)</f>
        <v>270816.8</v>
      </c>
      <c r="H14" s="5">
        <f>ROUND(SUMIF([1]开票!$A$2:$A$1750,[1]申请!AQ14,[1]开票!$E$2:$E$1750),2)</f>
        <v>102.15</v>
      </c>
      <c r="I14" s="5">
        <f t="shared" si="15"/>
        <v>272961.8</v>
      </c>
      <c r="J14" s="12">
        <v>2145</v>
      </c>
      <c r="K14" s="12"/>
      <c r="L14" s="12"/>
      <c r="M14" s="12"/>
      <c r="N14" s="12"/>
      <c r="O14" s="12"/>
      <c r="P14" s="12"/>
      <c r="Q14" s="12"/>
      <c r="R14" s="12"/>
      <c r="S14" s="12">
        <v>183162.12</v>
      </c>
      <c r="T14" s="12">
        <v>986.61</v>
      </c>
      <c r="U14" s="12">
        <v>65701.19</v>
      </c>
      <c r="V14" s="12">
        <v>19470</v>
      </c>
      <c r="W14" s="12">
        <v>0</v>
      </c>
      <c r="X14" s="12">
        <v>1496.88</v>
      </c>
      <c r="Y14" s="12"/>
      <c r="Z14" s="12"/>
      <c r="AA14" s="12"/>
      <c r="AB14" s="12"/>
      <c r="AC14" s="12"/>
      <c r="AD14" s="12">
        <f t="shared" si="0"/>
        <v>272961.8</v>
      </c>
      <c r="AE14" s="13">
        <f t="shared" si="1"/>
        <v>0</v>
      </c>
      <c r="AF14" s="14">
        <f t="shared" si="2"/>
        <v>0</v>
      </c>
      <c r="AG14" s="13">
        <f t="shared" si="3"/>
        <v>102.15</v>
      </c>
      <c r="AH14" s="13">
        <f t="shared" si="4"/>
        <v>7.15</v>
      </c>
      <c r="AI14" s="13">
        <f t="shared" si="5"/>
        <v>3.06</v>
      </c>
      <c r="AJ14" s="13">
        <f t="shared" si="6"/>
        <v>2.04</v>
      </c>
      <c r="AK14" s="13">
        <f t="shared" si="7"/>
        <v>0</v>
      </c>
      <c r="AL14" s="13">
        <f t="shared" si="8"/>
        <v>0</v>
      </c>
      <c r="AM14" s="13">
        <f t="shared" si="9"/>
        <v>102.15</v>
      </c>
      <c r="AN14" s="13">
        <f t="shared" si="10"/>
        <v>7.15</v>
      </c>
      <c r="AO14" s="13">
        <f t="shared" si="11"/>
        <v>3.06</v>
      </c>
      <c r="AP14" s="13">
        <f t="shared" si="12"/>
        <v>2.04</v>
      </c>
      <c r="AQ14" s="13" t="str">
        <f t="shared" si="13"/>
        <v>TJ202512011754000073051</v>
      </c>
      <c r="AR14" s="13">
        <f t="shared" si="14"/>
        <v>0.05</v>
      </c>
    </row>
    <row r="15" spans="1:44">
      <c r="A15" s="12" t="s">
        <v>75</v>
      </c>
      <c r="B15" s="12" t="s">
        <v>76</v>
      </c>
      <c r="C15" s="12" t="s">
        <v>46</v>
      </c>
      <c r="D15" s="12" t="s">
        <v>47</v>
      </c>
      <c r="E15" s="12" t="s">
        <v>77</v>
      </c>
      <c r="F15" s="5">
        <f>ROUND(SUMIF([1]开票!$A$2:$A$1750,[1]申请!AQ15,[1]开票!$C$2:$C$1750),2)</f>
        <v>0</v>
      </c>
      <c r="G15" s="5">
        <f>ROUND(SUMIF([1]开票!$A$2:$A$1750,[1]申请!AQ15,[1]开票!$D$2:$D$1750),2)</f>
        <v>239913.88</v>
      </c>
      <c r="H15" s="5">
        <f>ROUND(SUMIF([1]开票!$A$2:$A$1750,[1]申请!AQ15,[1]开票!$E$2:$E$1750),2)</f>
        <v>0</v>
      </c>
      <c r="I15" s="5">
        <f t="shared" si="15"/>
        <v>239913.88</v>
      </c>
      <c r="J15" s="15"/>
      <c r="K15" s="12"/>
      <c r="L15" s="12"/>
      <c r="M15" s="12"/>
      <c r="N15" s="12"/>
      <c r="O15" s="12"/>
      <c r="P15" s="12"/>
      <c r="Q15" s="12"/>
      <c r="R15" s="12"/>
      <c r="S15" s="15">
        <v>239913.88</v>
      </c>
      <c r="T15" s="15"/>
      <c r="U15" s="12"/>
      <c r="V15" s="12"/>
      <c r="W15" s="12"/>
      <c r="X15" s="12"/>
      <c r="Y15" s="15"/>
      <c r="Z15" s="15"/>
      <c r="AA15" s="12"/>
      <c r="AB15" s="12"/>
      <c r="AC15" s="12"/>
      <c r="AD15" s="12">
        <f t="shared" si="0"/>
        <v>239913.88</v>
      </c>
      <c r="AE15" s="13">
        <f t="shared" si="1"/>
        <v>0</v>
      </c>
      <c r="AF15" s="14">
        <f t="shared" si="2"/>
        <v>0</v>
      </c>
      <c r="AG15" s="13">
        <f t="shared" si="3"/>
        <v>0</v>
      </c>
      <c r="AH15" s="13">
        <f t="shared" si="4"/>
        <v>0</v>
      </c>
      <c r="AI15" s="13">
        <f t="shared" si="5"/>
        <v>0</v>
      </c>
      <c r="AJ15" s="13">
        <f t="shared" si="6"/>
        <v>0</v>
      </c>
      <c r="AK15" s="13">
        <f t="shared" si="7"/>
        <v>0</v>
      </c>
      <c r="AL15" s="13">
        <f t="shared" si="8"/>
        <v>0</v>
      </c>
      <c r="AM15" s="13">
        <f t="shared" si="9"/>
        <v>0</v>
      </c>
      <c r="AN15" s="13">
        <f t="shared" si="10"/>
        <v>0</v>
      </c>
      <c r="AO15" s="13">
        <f t="shared" si="11"/>
        <v>0</v>
      </c>
      <c r="AP15" s="13">
        <f t="shared" si="12"/>
        <v>0</v>
      </c>
      <c r="AQ15" s="13" t="str">
        <f t="shared" si="13"/>
        <v>TJ202512020912000234377</v>
      </c>
      <c r="AR15" s="13">
        <f t="shared" si="14"/>
        <v>0.05</v>
      </c>
    </row>
    <row r="16" spans="1:44">
      <c r="A16" s="12" t="s">
        <v>78</v>
      </c>
      <c r="B16" s="12" t="s">
        <v>76</v>
      </c>
      <c r="C16" s="12" t="s">
        <v>46</v>
      </c>
      <c r="D16" s="12" t="s">
        <v>47</v>
      </c>
      <c r="E16" s="12" t="s">
        <v>51</v>
      </c>
      <c r="F16" s="5">
        <f>ROUND(SUMIF([1]开票!$A$2:$A$1750,[1]申请!AQ16,[1]开票!$C$2:$C$1750),2)</f>
        <v>35.85</v>
      </c>
      <c r="G16" s="5">
        <f>ROUND(SUMIF([1]开票!$A$2:$A$1750,[1]申请!AQ16,[1]开票!$D$2:$D$1750),2)</f>
        <v>0</v>
      </c>
      <c r="H16" s="5">
        <f>ROUND(SUMIF([1]开票!$A$2:$A$1750,[1]申请!AQ16,[1]开票!$E$2:$E$1750),2)</f>
        <v>2.15</v>
      </c>
      <c r="I16" s="5">
        <f t="shared" si="15"/>
        <v>38</v>
      </c>
      <c r="J16" s="12"/>
      <c r="K16" s="12"/>
      <c r="L16" s="12"/>
      <c r="M16" s="12"/>
      <c r="N16" s="12"/>
      <c r="O16" s="12"/>
      <c r="P16" s="12">
        <v>11</v>
      </c>
      <c r="Q16" s="12"/>
      <c r="R16" s="12"/>
      <c r="S16" s="12"/>
      <c r="T16" s="12"/>
      <c r="U16" s="12"/>
      <c r="V16" s="12"/>
      <c r="W16" s="12">
        <v>27</v>
      </c>
      <c r="X16" s="12"/>
      <c r="Y16" s="12"/>
      <c r="Z16" s="12"/>
      <c r="AA16" s="17"/>
      <c r="AB16" s="17"/>
      <c r="AC16" s="12"/>
      <c r="AD16" s="12">
        <f t="shared" si="0"/>
        <v>38</v>
      </c>
      <c r="AE16" s="13">
        <f t="shared" si="1"/>
        <v>0</v>
      </c>
      <c r="AF16" s="14">
        <f t="shared" si="2"/>
        <v>0</v>
      </c>
      <c r="AG16" s="13">
        <f t="shared" si="3"/>
        <v>2.15</v>
      </c>
      <c r="AH16" s="13">
        <f t="shared" si="4"/>
        <v>0.15</v>
      </c>
      <c r="AI16" s="13">
        <f t="shared" si="5"/>
        <v>0.06</v>
      </c>
      <c r="AJ16" s="13">
        <f t="shared" si="6"/>
        <v>0.04</v>
      </c>
      <c r="AK16" s="13">
        <f t="shared" si="7"/>
        <v>0</v>
      </c>
      <c r="AL16" s="13">
        <f t="shared" si="8"/>
        <v>0</v>
      </c>
      <c r="AM16" s="13">
        <f t="shared" si="9"/>
        <v>2.15</v>
      </c>
      <c r="AN16" s="13">
        <f t="shared" si="10"/>
        <v>0.15</v>
      </c>
      <c r="AO16" s="13">
        <f t="shared" si="11"/>
        <v>0.06</v>
      </c>
      <c r="AP16" s="13">
        <f t="shared" si="12"/>
        <v>0.04</v>
      </c>
      <c r="AQ16" s="13" t="str">
        <f t="shared" si="13"/>
        <v>TJ202512020914000230838</v>
      </c>
      <c r="AR16" s="13">
        <f t="shared" si="14"/>
        <v>0.06</v>
      </c>
    </row>
    <row r="17" spans="1:44">
      <c r="A17" s="12" t="s">
        <v>79</v>
      </c>
      <c r="B17" s="12" t="s">
        <v>76</v>
      </c>
      <c r="C17" s="12" t="s">
        <v>46</v>
      </c>
      <c r="D17" s="12" t="s">
        <v>47</v>
      </c>
      <c r="E17" s="12" t="s">
        <v>77</v>
      </c>
      <c r="F17" s="5">
        <f>ROUND(SUMIF([1]开票!$A$2:$A$1750,[1]申请!AQ17,[1]开票!$C$2:$C$1750),2)</f>
        <v>557.14</v>
      </c>
      <c r="G17" s="5">
        <f>ROUND(SUMIF([1]开票!$A$2:$A$1750,[1]申请!AQ17,[1]开票!$D$2:$D$1750),2)</f>
        <v>73517.47</v>
      </c>
      <c r="H17" s="5">
        <f>ROUND(SUMIF([1]开票!$A$2:$A$1750,[1]申请!AQ17,[1]开票!$E$2:$E$1750),2)</f>
        <v>27.86</v>
      </c>
      <c r="I17" s="5">
        <f t="shared" si="15"/>
        <v>74102.47</v>
      </c>
      <c r="J17" s="12"/>
      <c r="K17" s="12">
        <v>585</v>
      </c>
      <c r="L17" s="12"/>
      <c r="M17" s="12"/>
      <c r="N17" s="12"/>
      <c r="O17" s="12"/>
      <c r="P17" s="12"/>
      <c r="Q17" s="12"/>
      <c r="R17" s="12"/>
      <c r="S17" s="12">
        <v>53655.63</v>
      </c>
      <c r="T17" s="12">
        <v>741.33</v>
      </c>
      <c r="U17" s="12">
        <v>14741.63</v>
      </c>
      <c r="V17" s="12">
        <v>4016</v>
      </c>
      <c r="W17" s="12"/>
      <c r="X17" s="12">
        <v>362.88</v>
      </c>
      <c r="Y17" s="12"/>
      <c r="Z17" s="12"/>
      <c r="AA17" s="12"/>
      <c r="AB17" s="12"/>
      <c r="AC17" s="12"/>
      <c r="AD17" s="12">
        <f t="shared" si="0"/>
        <v>74102.47</v>
      </c>
      <c r="AE17" s="13">
        <f t="shared" si="1"/>
        <v>0</v>
      </c>
      <c r="AF17" s="14">
        <f t="shared" si="2"/>
        <v>0</v>
      </c>
      <c r="AG17" s="13">
        <f t="shared" si="3"/>
        <v>27.86</v>
      </c>
      <c r="AH17" s="13">
        <f t="shared" si="4"/>
        <v>1.95</v>
      </c>
      <c r="AI17" s="13">
        <f t="shared" si="5"/>
        <v>0.84</v>
      </c>
      <c r="AJ17" s="13">
        <f t="shared" si="6"/>
        <v>0.56</v>
      </c>
      <c r="AK17" s="13">
        <f t="shared" si="7"/>
        <v>0</v>
      </c>
      <c r="AL17" s="13">
        <f t="shared" si="8"/>
        <v>0</v>
      </c>
      <c r="AM17" s="13">
        <f t="shared" si="9"/>
        <v>27.86</v>
      </c>
      <c r="AN17" s="13">
        <f t="shared" si="10"/>
        <v>1.95</v>
      </c>
      <c r="AO17" s="13">
        <f t="shared" si="11"/>
        <v>0.84</v>
      </c>
      <c r="AP17" s="13">
        <f t="shared" si="12"/>
        <v>0.56</v>
      </c>
      <c r="AQ17" s="13" t="str">
        <f t="shared" si="13"/>
        <v>TJ202512020916000393523</v>
      </c>
      <c r="AR17" s="13">
        <f t="shared" si="14"/>
        <v>0.05</v>
      </c>
    </row>
    <row r="18" spans="1:44">
      <c r="A18" s="18" t="s">
        <v>80</v>
      </c>
      <c r="B18" s="12" t="s">
        <v>76</v>
      </c>
      <c r="C18" s="12" t="s">
        <v>46</v>
      </c>
      <c r="D18" s="12" t="s">
        <v>47</v>
      </c>
      <c r="E18" s="12" t="s">
        <v>77</v>
      </c>
      <c r="F18" s="5">
        <f>ROUND(SUMIF([1]开票!$A$2:$A$1750,[1]申请!AQ18,[1]开票!$C$2:$C$1750),2)</f>
        <v>1238.1</v>
      </c>
      <c r="G18" s="5">
        <f>ROUND(SUMIF([1]开票!$A$2:$A$1750,[1]申请!AQ18,[1]开票!$D$2:$D$1750),2)</f>
        <v>182425.8</v>
      </c>
      <c r="H18" s="5">
        <f>ROUND(SUMIF([1]开票!$A$2:$A$1750,[1]申请!AQ18,[1]开票!$E$2:$E$1750),2)</f>
        <v>61.9</v>
      </c>
      <c r="I18" s="5">
        <f t="shared" si="15"/>
        <v>183725.8</v>
      </c>
      <c r="J18" s="12"/>
      <c r="K18" s="12">
        <v>1300</v>
      </c>
      <c r="L18" s="12"/>
      <c r="M18" s="12"/>
      <c r="N18" s="12"/>
      <c r="O18" s="12"/>
      <c r="P18" s="12"/>
      <c r="Q18" s="12"/>
      <c r="R18" s="12"/>
      <c r="S18" s="15">
        <v>136343.93</v>
      </c>
      <c r="T18" s="15">
        <v>1558.87</v>
      </c>
      <c r="U18" s="12">
        <v>36447.8</v>
      </c>
      <c r="V18" s="12">
        <v>7168</v>
      </c>
      <c r="W18" s="12"/>
      <c r="X18" s="12">
        <v>907.2</v>
      </c>
      <c r="Y18" s="15"/>
      <c r="Z18" s="12"/>
      <c r="AA18" s="12"/>
      <c r="AB18" s="12"/>
      <c r="AC18" s="12"/>
      <c r="AD18" s="12">
        <f t="shared" si="0"/>
        <v>183725.8</v>
      </c>
      <c r="AE18" s="13">
        <f t="shared" si="1"/>
        <v>0</v>
      </c>
      <c r="AF18" s="14">
        <f t="shared" si="2"/>
        <v>0</v>
      </c>
      <c r="AG18" s="13">
        <f t="shared" si="3"/>
        <v>61.9</v>
      </c>
      <c r="AH18" s="13">
        <f t="shared" si="4"/>
        <v>4.33</v>
      </c>
      <c r="AI18" s="13">
        <f t="shared" si="5"/>
        <v>1.86</v>
      </c>
      <c r="AJ18" s="13">
        <f t="shared" si="6"/>
        <v>1.24</v>
      </c>
      <c r="AK18" s="13">
        <f t="shared" si="7"/>
        <v>0</v>
      </c>
      <c r="AL18" s="13">
        <f t="shared" si="8"/>
        <v>0</v>
      </c>
      <c r="AM18" s="13">
        <f t="shared" si="9"/>
        <v>61.9</v>
      </c>
      <c r="AN18" s="13">
        <f t="shared" si="10"/>
        <v>4.33</v>
      </c>
      <c r="AO18" s="13">
        <f t="shared" si="11"/>
        <v>1.86</v>
      </c>
      <c r="AP18" s="13">
        <f t="shared" si="12"/>
        <v>1.24</v>
      </c>
      <c r="AQ18" s="13" t="str">
        <f t="shared" si="13"/>
        <v>TJ202512020921000119648</v>
      </c>
      <c r="AR18" s="13">
        <f t="shared" si="14"/>
        <v>0.05</v>
      </c>
    </row>
    <row r="19" spans="1:44">
      <c r="A19" s="12" t="s">
        <v>81</v>
      </c>
      <c r="B19" s="12" t="s">
        <v>74</v>
      </c>
      <c r="C19" s="12" t="s">
        <v>46</v>
      </c>
      <c r="D19" s="12" t="s">
        <v>47</v>
      </c>
      <c r="E19" s="12" t="s">
        <v>48</v>
      </c>
      <c r="F19" s="5">
        <f>ROUND(SUMIF([1]开票!$A$2:$A$1750,[1]申请!AQ19,[1]开票!$C$2:$C$1750),2)</f>
        <v>0</v>
      </c>
      <c r="G19" s="5">
        <f>ROUND(SUMIF([1]开票!$A$2:$A$1750,[1]申请!AQ19,[1]开票!$D$2:$D$1750),2)</f>
        <v>12772.5</v>
      </c>
      <c r="H19" s="5">
        <f>ROUND(SUMIF([1]开票!$A$2:$A$1750,[1]申请!AQ19,[1]开票!$E$2:$E$1750),2)</f>
        <v>0</v>
      </c>
      <c r="I19" s="5">
        <f t="shared" si="15"/>
        <v>12772.5</v>
      </c>
      <c r="J19" s="12">
        <v>0</v>
      </c>
      <c r="K19" s="12"/>
      <c r="L19" s="12"/>
      <c r="M19" s="12"/>
      <c r="N19" s="12"/>
      <c r="O19" s="12"/>
      <c r="P19" s="12"/>
      <c r="Q19" s="12"/>
      <c r="R19" s="12"/>
      <c r="S19" s="12">
        <v>12772.5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/>
      <c r="Z19" s="12"/>
      <c r="AA19" s="12"/>
      <c r="AB19" s="12"/>
      <c r="AC19" s="12"/>
      <c r="AD19" s="12">
        <f t="shared" si="0"/>
        <v>12772.5</v>
      </c>
      <c r="AE19" s="13">
        <f t="shared" si="1"/>
        <v>0</v>
      </c>
      <c r="AF19" s="14">
        <f t="shared" si="2"/>
        <v>0</v>
      </c>
      <c r="AG19" s="13">
        <f t="shared" si="3"/>
        <v>0</v>
      </c>
      <c r="AH19" s="13">
        <f t="shared" si="4"/>
        <v>0</v>
      </c>
      <c r="AI19" s="13">
        <f t="shared" si="5"/>
        <v>0</v>
      </c>
      <c r="AJ19" s="13">
        <f t="shared" si="6"/>
        <v>0</v>
      </c>
      <c r="AK19" s="13">
        <f t="shared" si="7"/>
        <v>0</v>
      </c>
      <c r="AL19" s="13">
        <f t="shared" si="8"/>
        <v>0</v>
      </c>
      <c r="AM19" s="13">
        <f t="shared" si="9"/>
        <v>0</v>
      </c>
      <c r="AN19" s="13">
        <f t="shared" si="10"/>
        <v>0</v>
      </c>
      <c r="AO19" s="13">
        <f t="shared" si="11"/>
        <v>0</v>
      </c>
      <c r="AP19" s="13">
        <f t="shared" si="12"/>
        <v>0</v>
      </c>
      <c r="AQ19" s="13" t="str">
        <f t="shared" si="13"/>
        <v>TJ202512020927000032377</v>
      </c>
      <c r="AR19" s="13">
        <f t="shared" si="14"/>
        <v>0.05</v>
      </c>
    </row>
    <row r="20" spans="1:44">
      <c r="A20" s="19" t="s">
        <v>82</v>
      </c>
      <c r="B20" s="12" t="s">
        <v>59</v>
      </c>
      <c r="C20" s="12" t="s">
        <v>54</v>
      </c>
      <c r="D20" s="12" t="s">
        <v>60</v>
      </c>
      <c r="E20" s="12" t="s">
        <v>51</v>
      </c>
      <c r="F20" s="5">
        <f>ROUND(SUMIF([1]开票!$A$2:$A$1750,[1]申请!AQ20,[1]开票!$C$2:$C$1750),2)</f>
        <v>111307.88</v>
      </c>
      <c r="G20" s="5">
        <f>ROUND(SUMIF([1]开票!$A$2:$A$1750,[1]申请!AQ20,[1]开票!$D$2:$D$1750),2)</f>
        <v>0</v>
      </c>
      <c r="H20" s="5">
        <f>ROUND(SUMIF([1]开票!$A$2:$A$1750,[1]申请!AQ20,[1]开票!$E$2:$E$1750),2)</f>
        <v>6678.47</v>
      </c>
      <c r="I20" s="5">
        <f t="shared" si="15"/>
        <v>117986.35</v>
      </c>
      <c r="J20" s="12"/>
      <c r="K20" s="12"/>
      <c r="L20" s="12"/>
      <c r="M20" s="12"/>
      <c r="N20" s="12"/>
      <c r="O20" s="12"/>
      <c r="P20" s="12"/>
      <c r="Q20" s="12">
        <v>7684.25</v>
      </c>
      <c r="R20" s="12"/>
      <c r="S20" s="12"/>
      <c r="T20" s="12"/>
      <c r="U20" s="12"/>
      <c r="V20" s="12"/>
      <c r="W20" s="12">
        <v>527.1</v>
      </c>
      <c r="X20" s="12"/>
      <c r="Y20" s="12"/>
      <c r="Z20" s="12">
        <v>109775</v>
      </c>
      <c r="AA20" s="12"/>
      <c r="AB20" s="12"/>
      <c r="AC20" s="12"/>
      <c r="AD20" s="12">
        <f t="shared" si="0"/>
        <v>117986.35</v>
      </c>
      <c r="AE20" s="13">
        <f t="shared" si="1"/>
        <v>0</v>
      </c>
      <c r="AF20" s="14">
        <f t="shared" si="2"/>
        <v>0</v>
      </c>
      <c r="AG20" s="13">
        <f t="shared" si="3"/>
        <v>6678.47</v>
      </c>
      <c r="AH20" s="13">
        <f t="shared" si="4"/>
        <v>467.49</v>
      </c>
      <c r="AI20" s="13">
        <f t="shared" si="5"/>
        <v>200.35</v>
      </c>
      <c r="AJ20" s="13">
        <f t="shared" si="6"/>
        <v>133.57</v>
      </c>
      <c r="AK20" s="13">
        <f t="shared" si="7"/>
        <v>0</v>
      </c>
      <c r="AL20" s="13">
        <f t="shared" si="8"/>
        <v>0</v>
      </c>
      <c r="AM20" s="13">
        <f t="shared" si="9"/>
        <v>6678.47</v>
      </c>
      <c r="AN20" s="13">
        <f t="shared" si="10"/>
        <v>467.49</v>
      </c>
      <c r="AO20" s="13">
        <f t="shared" si="11"/>
        <v>200.35</v>
      </c>
      <c r="AP20" s="13">
        <f t="shared" si="12"/>
        <v>133.57</v>
      </c>
      <c r="AQ20" s="13" t="str">
        <f t="shared" si="13"/>
        <v>TJ202512021410000083517</v>
      </c>
      <c r="AR20" s="13">
        <f t="shared" si="14"/>
        <v>0.06</v>
      </c>
    </row>
    <row r="21" spans="1:44">
      <c r="A21" s="12" t="s">
        <v>83</v>
      </c>
      <c r="B21" s="12" t="s">
        <v>74</v>
      </c>
      <c r="C21" s="12" t="s">
        <v>46</v>
      </c>
      <c r="D21" s="12" t="s">
        <v>47</v>
      </c>
      <c r="E21" s="12" t="s">
        <v>48</v>
      </c>
      <c r="F21" s="5">
        <f>ROUND(SUMIF([1]开票!$A$2:$A$1750,[1]申请!AQ21,[1]开票!$C$2:$C$1750),2)</f>
        <v>309.52</v>
      </c>
      <c r="G21" s="5">
        <f>ROUND(SUMIF([1]开票!$A$2:$A$1750,[1]申请!AQ21,[1]开票!$D$2:$D$1750),2)</f>
        <v>28528.58</v>
      </c>
      <c r="H21" s="5">
        <f>ROUND(SUMIF([1]开票!$A$2:$A$1750,[1]申请!AQ21,[1]开票!$E$2:$E$1750),2)</f>
        <v>15.48</v>
      </c>
      <c r="I21" s="5">
        <f t="shared" si="15"/>
        <v>28853.58</v>
      </c>
      <c r="J21" s="12">
        <v>325</v>
      </c>
      <c r="K21" s="12"/>
      <c r="L21" s="12"/>
      <c r="M21" s="12"/>
      <c r="N21" s="12"/>
      <c r="O21" s="12"/>
      <c r="P21" s="12"/>
      <c r="Q21" s="12"/>
      <c r="R21" s="12"/>
      <c r="S21" s="12">
        <v>24000</v>
      </c>
      <c r="T21" s="12">
        <v>4528.58</v>
      </c>
      <c r="U21" s="12">
        <v>0</v>
      </c>
      <c r="V21" s="12">
        <v>0</v>
      </c>
      <c r="W21" s="12">
        <v>0</v>
      </c>
      <c r="X21" s="12">
        <v>0</v>
      </c>
      <c r="Y21" s="12"/>
      <c r="Z21" s="12"/>
      <c r="AA21" s="12"/>
      <c r="AB21" s="12"/>
      <c r="AC21" s="12"/>
      <c r="AD21" s="12">
        <f t="shared" si="0"/>
        <v>28853.58</v>
      </c>
      <c r="AE21" s="13">
        <f t="shared" si="1"/>
        <v>0</v>
      </c>
      <c r="AF21" s="14">
        <f t="shared" si="2"/>
        <v>0</v>
      </c>
      <c r="AG21" s="13">
        <f t="shared" si="3"/>
        <v>15.48</v>
      </c>
      <c r="AH21" s="13">
        <f t="shared" si="4"/>
        <v>1.08</v>
      </c>
      <c r="AI21" s="13">
        <f t="shared" si="5"/>
        <v>0.46</v>
      </c>
      <c r="AJ21" s="13">
        <f t="shared" si="6"/>
        <v>0.31</v>
      </c>
      <c r="AK21" s="13">
        <f t="shared" si="7"/>
        <v>0</v>
      </c>
      <c r="AL21" s="13">
        <f t="shared" si="8"/>
        <v>0</v>
      </c>
      <c r="AM21" s="13">
        <f t="shared" si="9"/>
        <v>15.48</v>
      </c>
      <c r="AN21" s="13">
        <f t="shared" si="10"/>
        <v>1.08</v>
      </c>
      <c r="AO21" s="13">
        <f t="shared" si="11"/>
        <v>0.46</v>
      </c>
      <c r="AP21" s="13">
        <f t="shared" si="12"/>
        <v>0.31</v>
      </c>
      <c r="AQ21" s="13" t="str">
        <f t="shared" si="13"/>
        <v>TJ202512021519000271014</v>
      </c>
      <c r="AR21" s="13">
        <f t="shared" si="14"/>
        <v>0.05</v>
      </c>
    </row>
    <row r="22" ht="15" spans="1:44">
      <c r="A22" s="18" t="s">
        <v>84</v>
      </c>
      <c r="B22" s="12" t="s">
        <v>59</v>
      </c>
      <c r="C22" s="12" t="s">
        <v>54</v>
      </c>
      <c r="D22" s="12" t="s">
        <v>60</v>
      </c>
      <c r="E22" s="12" t="s">
        <v>51</v>
      </c>
      <c r="F22" s="5">
        <f>ROUND(SUMIF([1]开票!$A$2:$A$1750,[1]申请!AQ22,[1]开票!$C$2:$C$1750),2)</f>
        <v>1312.26</v>
      </c>
      <c r="G22" s="5">
        <f>ROUND(SUMIF([1]开票!$A$2:$A$1750,[1]申请!AQ22,[1]开票!$D$2:$D$1750),2)</f>
        <v>0</v>
      </c>
      <c r="H22" s="5">
        <f>ROUND(SUMIF([1]开票!$A$2:$A$1750,[1]申请!AQ22,[1]开票!$E$2:$E$1750),2)</f>
        <v>78.74</v>
      </c>
      <c r="I22" s="5">
        <f t="shared" si="15"/>
        <v>1391</v>
      </c>
      <c r="J22" s="20"/>
      <c r="K22" s="12"/>
      <c r="L22" s="15"/>
      <c r="M22" s="12"/>
      <c r="N22" s="12"/>
      <c r="O22" s="12"/>
      <c r="P22" s="12"/>
      <c r="Q22" s="12">
        <v>91</v>
      </c>
      <c r="R22" s="12"/>
      <c r="S22" s="20"/>
      <c r="T22" s="12"/>
      <c r="U22" s="12"/>
      <c r="V22" s="12"/>
      <c r="W22" s="12"/>
      <c r="X22" s="12"/>
      <c r="Y22" s="12"/>
      <c r="Z22" s="12">
        <v>1300</v>
      </c>
      <c r="AA22" s="12"/>
      <c r="AB22" s="12"/>
      <c r="AC22" s="12"/>
      <c r="AD22" s="12">
        <f t="shared" si="0"/>
        <v>1391</v>
      </c>
      <c r="AE22" s="13">
        <f t="shared" si="1"/>
        <v>0</v>
      </c>
      <c r="AF22" s="14">
        <f t="shared" si="2"/>
        <v>0</v>
      </c>
      <c r="AG22" s="13">
        <f t="shared" si="3"/>
        <v>78.74</v>
      </c>
      <c r="AH22" s="13">
        <f t="shared" si="4"/>
        <v>5.51</v>
      </c>
      <c r="AI22" s="13">
        <f t="shared" si="5"/>
        <v>2.36</v>
      </c>
      <c r="AJ22" s="13">
        <f t="shared" si="6"/>
        <v>1.57</v>
      </c>
      <c r="AK22" s="13">
        <f t="shared" si="7"/>
        <v>0</v>
      </c>
      <c r="AL22" s="13">
        <f t="shared" si="8"/>
        <v>0</v>
      </c>
      <c r="AM22" s="13">
        <f t="shared" si="9"/>
        <v>78.74</v>
      </c>
      <c r="AN22" s="13">
        <f t="shared" si="10"/>
        <v>5.51</v>
      </c>
      <c r="AO22" s="13">
        <f t="shared" si="11"/>
        <v>2.36</v>
      </c>
      <c r="AP22" s="13">
        <f t="shared" si="12"/>
        <v>1.57</v>
      </c>
      <c r="AQ22" s="13" t="str">
        <f t="shared" si="13"/>
        <v>TJ202512021609000063803</v>
      </c>
      <c r="AR22" s="13">
        <f t="shared" si="14"/>
        <v>0.06</v>
      </c>
    </row>
    <row r="23" spans="1:44">
      <c r="A23" s="12" t="s">
        <v>85</v>
      </c>
      <c r="B23" s="12" t="s">
        <v>59</v>
      </c>
      <c r="C23" s="12" t="s">
        <v>54</v>
      </c>
      <c r="D23" s="12" t="s">
        <v>60</v>
      </c>
      <c r="E23" s="12" t="s">
        <v>51</v>
      </c>
      <c r="F23" s="5">
        <f>ROUND(SUMIF([1]开票!$A$2:$A$1750,[1]申请!AQ23,[1]开票!$C$2:$C$1750),2)</f>
        <v>39632.98</v>
      </c>
      <c r="G23" s="5">
        <f>ROUND(SUMIF([1]开票!$A$2:$A$1750,[1]申请!AQ23,[1]开票!$D$2:$D$1750),2)</f>
        <v>0</v>
      </c>
      <c r="H23" s="5">
        <f>ROUND(SUMIF([1]开票!$A$2:$A$1750,[1]申请!AQ23,[1]开票!$E$2:$E$1750),2)</f>
        <v>2377.98</v>
      </c>
      <c r="I23" s="5">
        <f t="shared" si="15"/>
        <v>42010.96</v>
      </c>
      <c r="J23" s="12"/>
      <c r="K23" s="12"/>
      <c r="L23" s="12"/>
      <c r="M23" s="12"/>
      <c r="N23" s="12"/>
      <c r="O23" s="12"/>
      <c r="P23" s="12"/>
      <c r="Q23" s="12">
        <v>2748.38</v>
      </c>
      <c r="R23" s="12"/>
      <c r="S23" s="12"/>
      <c r="T23" s="12"/>
      <c r="U23" s="12"/>
      <c r="V23" s="12"/>
      <c r="W23" s="12"/>
      <c r="X23" s="12"/>
      <c r="Y23" s="12"/>
      <c r="Z23" s="12">
        <v>39262.58</v>
      </c>
      <c r="AA23" s="12"/>
      <c r="AB23" s="12"/>
      <c r="AC23" s="12"/>
      <c r="AD23" s="12">
        <f t="shared" si="0"/>
        <v>42010.96</v>
      </c>
      <c r="AE23" s="13">
        <f t="shared" si="1"/>
        <v>0</v>
      </c>
      <c r="AF23" s="14">
        <f t="shared" si="2"/>
        <v>0</v>
      </c>
      <c r="AG23" s="13">
        <f t="shared" si="3"/>
        <v>2377.98</v>
      </c>
      <c r="AH23" s="13">
        <f t="shared" si="4"/>
        <v>166.46</v>
      </c>
      <c r="AI23" s="13">
        <f t="shared" si="5"/>
        <v>71.34</v>
      </c>
      <c r="AJ23" s="13">
        <f t="shared" si="6"/>
        <v>47.56</v>
      </c>
      <c r="AK23" s="13">
        <f t="shared" si="7"/>
        <v>0</v>
      </c>
      <c r="AL23" s="13">
        <f t="shared" si="8"/>
        <v>0</v>
      </c>
      <c r="AM23" s="13">
        <f t="shared" si="9"/>
        <v>2377.98</v>
      </c>
      <c r="AN23" s="13">
        <f t="shared" si="10"/>
        <v>166.46</v>
      </c>
      <c r="AO23" s="13">
        <f t="shared" si="11"/>
        <v>71.34</v>
      </c>
      <c r="AP23" s="13">
        <f t="shared" si="12"/>
        <v>47.56</v>
      </c>
      <c r="AQ23" s="13" t="str">
        <f t="shared" si="13"/>
        <v>TJ202512021611000107980</v>
      </c>
      <c r="AR23" s="13">
        <f t="shared" si="14"/>
        <v>0.06</v>
      </c>
    </row>
    <row r="24" spans="1:44">
      <c r="A24" s="19" t="s">
        <v>86</v>
      </c>
      <c r="B24" s="12" t="s">
        <v>59</v>
      </c>
      <c r="C24" s="12" t="s">
        <v>54</v>
      </c>
      <c r="D24" s="12" t="s">
        <v>60</v>
      </c>
      <c r="E24" s="12" t="s">
        <v>51</v>
      </c>
      <c r="F24" s="5">
        <f>ROUND(SUMIF([1]开票!$A$2:$A$1750,[1]申请!AQ24,[1]开票!$C$2:$C$1750),2)</f>
        <v>90166.55</v>
      </c>
      <c r="G24" s="5">
        <f>ROUND(SUMIF([1]开票!$A$2:$A$1750,[1]申请!AQ24,[1]开票!$D$2:$D$1750),2)</f>
        <v>0</v>
      </c>
      <c r="H24" s="5">
        <f>ROUND(SUMIF([1]开票!$A$2:$A$1750,[1]申请!AQ24,[1]开票!$E$2:$E$1750),2)</f>
        <v>5409.99</v>
      </c>
      <c r="I24" s="5">
        <f t="shared" si="15"/>
        <v>95576.54</v>
      </c>
      <c r="J24" s="12"/>
      <c r="K24" s="12"/>
      <c r="L24" s="12"/>
      <c r="M24" s="12"/>
      <c r="N24" s="12"/>
      <c r="O24" s="12"/>
      <c r="P24" s="12"/>
      <c r="Q24" s="12">
        <v>6192.9</v>
      </c>
      <c r="R24" s="12"/>
      <c r="S24" s="12"/>
      <c r="T24" s="12"/>
      <c r="U24" s="12"/>
      <c r="V24" s="12"/>
      <c r="W24" s="12">
        <v>913.64</v>
      </c>
      <c r="X24" s="12"/>
      <c r="Y24" s="12"/>
      <c r="Z24" s="12">
        <v>88470</v>
      </c>
      <c r="AA24" s="12"/>
      <c r="AB24" s="12"/>
      <c r="AC24" s="12"/>
      <c r="AD24" s="12">
        <f t="shared" si="0"/>
        <v>95576.54</v>
      </c>
      <c r="AE24" s="21">
        <f t="shared" si="1"/>
        <v>0</v>
      </c>
      <c r="AF24" s="22">
        <f t="shared" si="2"/>
        <v>0</v>
      </c>
      <c r="AG24" s="21">
        <f t="shared" si="3"/>
        <v>5409.99</v>
      </c>
      <c r="AH24" s="21">
        <f t="shared" si="4"/>
        <v>378.7</v>
      </c>
      <c r="AI24" s="21">
        <f t="shared" si="5"/>
        <v>162.3</v>
      </c>
      <c r="AJ24" s="21">
        <f t="shared" si="6"/>
        <v>108.2</v>
      </c>
      <c r="AK24" s="21">
        <f t="shared" si="7"/>
        <v>0</v>
      </c>
      <c r="AL24" s="21">
        <f t="shared" si="8"/>
        <v>0</v>
      </c>
      <c r="AM24" s="21">
        <f t="shared" si="9"/>
        <v>5409.99</v>
      </c>
      <c r="AN24" s="21">
        <f t="shared" si="10"/>
        <v>378.7</v>
      </c>
      <c r="AO24" s="21">
        <f t="shared" si="11"/>
        <v>162.3</v>
      </c>
      <c r="AP24" s="21">
        <f t="shared" si="12"/>
        <v>108.2</v>
      </c>
      <c r="AQ24" s="21" t="str">
        <f t="shared" si="13"/>
        <v>TJ202512021613000555164</v>
      </c>
      <c r="AR24" s="21">
        <f t="shared" si="14"/>
        <v>0.06</v>
      </c>
    </row>
    <row r="25" spans="1:44">
      <c r="A25" s="12" t="s">
        <v>87</v>
      </c>
      <c r="B25" s="12" t="s">
        <v>57</v>
      </c>
      <c r="C25" s="12" t="s">
        <v>54</v>
      </c>
      <c r="D25" s="12" t="s">
        <v>55</v>
      </c>
      <c r="E25" s="12" t="s">
        <v>51</v>
      </c>
      <c r="F25" s="5">
        <f>ROUND(SUMIF([1]开票!$A$2:$A$1750,[1]申请!AQ25,[1]开票!$C$2:$C$1750),2)</f>
        <v>13469.15</v>
      </c>
      <c r="G25" s="5">
        <f>ROUND(SUMIF([1]开票!$A$2:$A$1750,[1]申请!AQ25,[1]开票!$D$2:$D$1750),2)</f>
        <v>0</v>
      </c>
      <c r="H25" s="5">
        <f>ROUND(SUMIF([1]开票!$A$2:$A$1750,[1]申请!AQ25,[1]开票!$E$2:$E$1750),2)</f>
        <v>808.15</v>
      </c>
      <c r="I25" s="5">
        <f t="shared" si="15"/>
        <v>14277.3</v>
      </c>
      <c r="J25" s="12">
        <v>14277.3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>
        <f t="shared" si="0"/>
        <v>14277.3</v>
      </c>
      <c r="AE25" s="13">
        <f t="shared" si="1"/>
        <v>0</v>
      </c>
      <c r="AF25" s="14">
        <f t="shared" si="2"/>
        <v>0</v>
      </c>
      <c r="AG25" s="13">
        <f t="shared" si="3"/>
        <v>808.15</v>
      </c>
      <c r="AH25" s="13">
        <f t="shared" si="4"/>
        <v>56.57</v>
      </c>
      <c r="AI25" s="13">
        <f t="shared" si="5"/>
        <v>24.24</v>
      </c>
      <c r="AJ25" s="13">
        <f t="shared" si="6"/>
        <v>16.16</v>
      </c>
      <c r="AK25" s="13">
        <f t="shared" si="7"/>
        <v>0</v>
      </c>
      <c r="AL25" s="13">
        <f t="shared" si="8"/>
        <v>0</v>
      </c>
      <c r="AM25" s="13">
        <f t="shared" si="9"/>
        <v>808.15</v>
      </c>
      <c r="AN25" s="13">
        <f t="shared" si="10"/>
        <v>56.57</v>
      </c>
      <c r="AO25" s="13">
        <f t="shared" si="11"/>
        <v>24.24</v>
      </c>
      <c r="AP25" s="13">
        <f t="shared" si="12"/>
        <v>16.16</v>
      </c>
      <c r="AQ25" s="13" t="str">
        <f t="shared" si="13"/>
        <v>TJ202512021636000598013</v>
      </c>
      <c r="AR25" s="13">
        <f t="shared" si="14"/>
        <v>0.06</v>
      </c>
    </row>
    <row r="26" spans="1:44">
      <c r="A26" s="12" t="s">
        <v>88</v>
      </c>
      <c r="B26" s="12" t="s">
        <v>57</v>
      </c>
      <c r="C26" s="12" t="s">
        <v>54</v>
      </c>
      <c r="D26" s="12" t="s">
        <v>55</v>
      </c>
      <c r="E26" s="12" t="s">
        <v>51</v>
      </c>
      <c r="F26" s="5">
        <f>ROUND(SUMIF([1]开票!$A$2:$A$1750,[1]申请!AQ26,[1]开票!$C$2:$C$1750),2)</f>
        <v>118324.94</v>
      </c>
      <c r="G26" s="5">
        <f>ROUND(SUMIF([1]开票!$A$2:$A$1750,[1]申请!AQ26,[1]开票!$D$2:$D$1750),2)</f>
        <v>0</v>
      </c>
      <c r="H26" s="5">
        <f>ROUND(SUMIF([1]开票!$A$2:$A$1750,[1]申请!AQ26,[1]开票!$E$2:$E$1750),2)</f>
        <v>7099.5</v>
      </c>
      <c r="I26" s="5">
        <f t="shared" si="15"/>
        <v>125424.44</v>
      </c>
      <c r="J26" s="12">
        <v>125424.44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>
        <f t="shared" si="0"/>
        <v>125424.44</v>
      </c>
      <c r="AE26" s="13">
        <f t="shared" si="1"/>
        <v>0</v>
      </c>
      <c r="AF26" s="14">
        <f t="shared" si="2"/>
        <v>0</v>
      </c>
      <c r="AG26" s="13">
        <f t="shared" si="3"/>
        <v>7099.5</v>
      </c>
      <c r="AH26" s="13">
        <f t="shared" si="4"/>
        <v>496.97</v>
      </c>
      <c r="AI26" s="13">
        <f t="shared" si="5"/>
        <v>212.99</v>
      </c>
      <c r="AJ26" s="13">
        <f t="shared" si="6"/>
        <v>141.99</v>
      </c>
      <c r="AK26" s="13">
        <f t="shared" si="7"/>
        <v>0</v>
      </c>
      <c r="AL26" s="13">
        <f t="shared" si="8"/>
        <v>0</v>
      </c>
      <c r="AM26" s="13">
        <f t="shared" si="9"/>
        <v>7099.5</v>
      </c>
      <c r="AN26" s="13">
        <f t="shared" si="10"/>
        <v>496.97</v>
      </c>
      <c r="AO26" s="13">
        <f t="shared" si="11"/>
        <v>212.99</v>
      </c>
      <c r="AP26" s="13">
        <f t="shared" si="12"/>
        <v>141.99</v>
      </c>
      <c r="AQ26" s="13" t="str">
        <f t="shared" si="13"/>
        <v>TJ202512021639000011329</v>
      </c>
      <c r="AR26" s="13">
        <f t="shared" si="14"/>
        <v>0.06</v>
      </c>
    </row>
    <row r="27" spans="1:44">
      <c r="A27" s="12" t="s">
        <v>89</v>
      </c>
      <c r="B27" s="12" t="s">
        <v>57</v>
      </c>
      <c r="C27" s="12" t="s">
        <v>54</v>
      </c>
      <c r="D27" s="12" t="s">
        <v>55</v>
      </c>
      <c r="E27" s="12" t="s">
        <v>51</v>
      </c>
      <c r="F27" s="5">
        <f>ROUND(SUMIF([1]开票!$A$2:$A$1750,[1]申请!AQ27,[1]开票!$C$2:$C$1750),2)</f>
        <v>12666.22</v>
      </c>
      <c r="G27" s="5">
        <f>ROUND(SUMIF([1]开票!$A$2:$A$1750,[1]申请!AQ27,[1]开票!$D$2:$D$1750),2)</f>
        <v>0</v>
      </c>
      <c r="H27" s="5">
        <f>ROUND(SUMIF([1]开票!$A$2:$A$1750,[1]申请!AQ27,[1]开票!$E$2:$E$1750),2)</f>
        <v>759.97</v>
      </c>
      <c r="I27" s="5">
        <f t="shared" si="15"/>
        <v>13426.19</v>
      </c>
      <c r="J27" s="12">
        <v>13426.19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>
        <f t="shared" si="0"/>
        <v>13426.19</v>
      </c>
      <c r="AE27" s="13">
        <f t="shared" si="1"/>
        <v>0</v>
      </c>
      <c r="AF27" s="14">
        <f t="shared" si="2"/>
        <v>0</v>
      </c>
      <c r="AG27" s="13">
        <f t="shared" si="3"/>
        <v>759.97</v>
      </c>
      <c r="AH27" s="13">
        <f t="shared" si="4"/>
        <v>53.2</v>
      </c>
      <c r="AI27" s="13">
        <f t="shared" si="5"/>
        <v>22.8</v>
      </c>
      <c r="AJ27" s="13">
        <f t="shared" si="6"/>
        <v>15.2</v>
      </c>
      <c r="AK27" s="13">
        <f t="shared" si="7"/>
        <v>0</v>
      </c>
      <c r="AL27" s="13">
        <f t="shared" si="8"/>
        <v>0</v>
      </c>
      <c r="AM27" s="13">
        <f t="shared" si="9"/>
        <v>759.97</v>
      </c>
      <c r="AN27" s="13">
        <f t="shared" si="10"/>
        <v>53.2</v>
      </c>
      <c r="AO27" s="13">
        <f t="shared" si="11"/>
        <v>22.8</v>
      </c>
      <c r="AP27" s="13">
        <f t="shared" si="12"/>
        <v>15.2</v>
      </c>
      <c r="AQ27" s="13" t="str">
        <f t="shared" si="13"/>
        <v>TJ202512021650000521680</v>
      </c>
      <c r="AR27" s="13">
        <f t="shared" si="14"/>
        <v>0.06</v>
      </c>
    </row>
    <row r="28" spans="1:44">
      <c r="A28" s="12" t="s">
        <v>90</v>
      </c>
      <c r="B28" s="12" t="s">
        <v>57</v>
      </c>
      <c r="C28" s="12" t="s">
        <v>54</v>
      </c>
      <c r="D28" s="12" t="s">
        <v>55</v>
      </c>
      <c r="E28" s="12" t="s">
        <v>51</v>
      </c>
      <c r="F28" s="5">
        <f>ROUND(SUMIF([1]开票!$A$2:$A$1750,[1]申请!AQ28,[1]开票!$C$2:$C$1750),2)</f>
        <v>19424.18</v>
      </c>
      <c r="G28" s="5">
        <f>ROUND(SUMIF([1]开票!$A$2:$A$1750,[1]申请!AQ28,[1]开票!$D$2:$D$1750),2)</f>
        <v>0</v>
      </c>
      <c r="H28" s="5">
        <f>ROUND(SUMIF([1]开票!$A$2:$A$1750,[1]申请!AQ28,[1]开票!$E$2:$E$1750),2)</f>
        <v>1165.45</v>
      </c>
      <c r="I28" s="5">
        <f t="shared" si="15"/>
        <v>20589.63</v>
      </c>
      <c r="J28" s="15">
        <v>20589.63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>
        <f t="shared" si="0"/>
        <v>20589.63</v>
      </c>
      <c r="AE28" s="13">
        <f t="shared" si="1"/>
        <v>0</v>
      </c>
      <c r="AF28" s="14">
        <f t="shared" si="2"/>
        <v>0</v>
      </c>
      <c r="AG28" s="13">
        <f t="shared" si="3"/>
        <v>1165.45</v>
      </c>
      <c r="AH28" s="13">
        <f t="shared" si="4"/>
        <v>81.58</v>
      </c>
      <c r="AI28" s="13">
        <f t="shared" si="5"/>
        <v>34.96</v>
      </c>
      <c r="AJ28" s="13">
        <f t="shared" si="6"/>
        <v>23.31</v>
      </c>
      <c r="AK28" s="13">
        <f t="shared" si="7"/>
        <v>0</v>
      </c>
      <c r="AL28" s="13">
        <f t="shared" si="8"/>
        <v>0</v>
      </c>
      <c r="AM28" s="13">
        <f t="shared" si="9"/>
        <v>1165.45</v>
      </c>
      <c r="AN28" s="13">
        <f t="shared" si="10"/>
        <v>81.58</v>
      </c>
      <c r="AO28" s="13">
        <f t="shared" si="11"/>
        <v>34.96</v>
      </c>
      <c r="AP28" s="13">
        <f t="shared" si="12"/>
        <v>23.31</v>
      </c>
      <c r="AQ28" s="13" t="str">
        <f t="shared" si="13"/>
        <v>TJ202512021653000468302</v>
      </c>
      <c r="AR28" s="13">
        <f t="shared" si="14"/>
        <v>0.06</v>
      </c>
    </row>
    <row r="29" spans="1:44">
      <c r="A29" s="12" t="s">
        <v>91</v>
      </c>
      <c r="B29" s="12" t="s">
        <v>57</v>
      </c>
      <c r="C29" s="12" t="s">
        <v>54</v>
      </c>
      <c r="D29" s="12" t="s">
        <v>55</v>
      </c>
      <c r="E29" s="12" t="s">
        <v>51</v>
      </c>
      <c r="F29" s="5">
        <f>ROUND(SUMIF([1]开票!$A$2:$A$1750,[1]申请!AQ29,[1]开票!$C$2:$C$1750),2)</f>
        <v>13932.08</v>
      </c>
      <c r="G29" s="5">
        <f>ROUND(SUMIF([1]开票!$A$2:$A$1750,[1]申请!AQ29,[1]开票!$D$2:$D$1750),2)</f>
        <v>0</v>
      </c>
      <c r="H29" s="5">
        <f>ROUND(SUMIF([1]开票!$A$2:$A$1750,[1]申请!AQ29,[1]开票!$E$2:$E$1750),2)</f>
        <v>835.92</v>
      </c>
      <c r="I29" s="5">
        <f t="shared" si="15"/>
        <v>14768</v>
      </c>
      <c r="J29" s="12">
        <v>14768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>
        <f t="shared" si="0"/>
        <v>14768</v>
      </c>
      <c r="AE29" s="13">
        <f t="shared" si="1"/>
        <v>0</v>
      </c>
      <c r="AF29" s="14">
        <f t="shared" si="2"/>
        <v>0</v>
      </c>
      <c r="AG29" s="13">
        <f t="shared" si="3"/>
        <v>835.92</v>
      </c>
      <c r="AH29" s="13">
        <f t="shared" si="4"/>
        <v>58.51</v>
      </c>
      <c r="AI29" s="13">
        <f t="shared" si="5"/>
        <v>25.08</v>
      </c>
      <c r="AJ29" s="13">
        <f t="shared" si="6"/>
        <v>16.72</v>
      </c>
      <c r="AK29" s="13">
        <f t="shared" si="7"/>
        <v>0</v>
      </c>
      <c r="AL29" s="13">
        <f t="shared" si="8"/>
        <v>0</v>
      </c>
      <c r="AM29" s="13">
        <f t="shared" si="9"/>
        <v>835.92</v>
      </c>
      <c r="AN29" s="13">
        <f t="shared" si="10"/>
        <v>58.51</v>
      </c>
      <c r="AO29" s="13">
        <f t="shared" si="11"/>
        <v>25.08</v>
      </c>
      <c r="AP29" s="13">
        <f t="shared" si="12"/>
        <v>16.72</v>
      </c>
      <c r="AQ29" s="13" t="str">
        <f t="shared" si="13"/>
        <v>TJ202512021654000236881</v>
      </c>
      <c r="AR29" s="13">
        <f t="shared" si="14"/>
        <v>0.06</v>
      </c>
    </row>
    <row r="30" spans="1:44">
      <c r="A30" s="12" t="s">
        <v>92</v>
      </c>
      <c r="B30" s="12" t="s">
        <v>93</v>
      </c>
      <c r="C30" s="12" t="s">
        <v>94</v>
      </c>
      <c r="D30" s="12" t="s">
        <v>95</v>
      </c>
      <c r="E30" s="12" t="s">
        <v>51</v>
      </c>
      <c r="F30" s="5">
        <f>ROUND(SUMIF([1]开票!$A$2:$A$1750,[1]申请!AQ30,[1]开票!$C$2:$C$1750),2)</f>
        <v>6132.08</v>
      </c>
      <c r="G30" s="5">
        <f>ROUND(SUMIF([1]开票!$A$2:$A$1750,[1]申请!AQ30,[1]开票!$D$2:$D$1750),2)</f>
        <v>0</v>
      </c>
      <c r="H30" s="5">
        <f>ROUND(SUMIF([1]开票!$A$2:$A$1750,[1]申请!AQ30,[1]开票!$E$2:$E$1750),2)</f>
        <v>367.92</v>
      </c>
      <c r="I30" s="5">
        <f t="shared" si="15"/>
        <v>6500</v>
      </c>
      <c r="J30" s="12"/>
      <c r="K30" s="12"/>
      <c r="L30" s="12"/>
      <c r="M30" s="12"/>
      <c r="N30" s="15">
        <v>6500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>
        <f t="shared" si="0"/>
        <v>6500</v>
      </c>
      <c r="AE30" s="13">
        <f t="shared" si="1"/>
        <v>0</v>
      </c>
      <c r="AF30" s="14">
        <f t="shared" si="2"/>
        <v>0</v>
      </c>
      <c r="AG30" s="13">
        <f t="shared" si="3"/>
        <v>367.92</v>
      </c>
      <c r="AH30" s="13">
        <f t="shared" si="4"/>
        <v>25.75</v>
      </c>
      <c r="AI30" s="13">
        <f t="shared" si="5"/>
        <v>11.04</v>
      </c>
      <c r="AJ30" s="13">
        <f t="shared" si="6"/>
        <v>7.36</v>
      </c>
      <c r="AK30" s="13">
        <f t="shared" si="7"/>
        <v>0</v>
      </c>
      <c r="AL30" s="13">
        <f t="shared" si="8"/>
        <v>0</v>
      </c>
      <c r="AM30" s="13">
        <f t="shared" si="9"/>
        <v>367.92</v>
      </c>
      <c r="AN30" s="13">
        <f t="shared" si="10"/>
        <v>25.75</v>
      </c>
      <c r="AO30" s="13">
        <f t="shared" si="11"/>
        <v>11.04</v>
      </c>
      <c r="AP30" s="13">
        <f t="shared" si="12"/>
        <v>7.36</v>
      </c>
      <c r="AQ30" s="13" t="str">
        <f t="shared" si="13"/>
        <v>TJ202512021655000124061</v>
      </c>
      <c r="AR30" s="13">
        <f t="shared" si="14"/>
        <v>0.06</v>
      </c>
    </row>
    <row r="31" spans="1:44">
      <c r="A31" s="12" t="s">
        <v>96</v>
      </c>
      <c r="B31" s="12" t="s">
        <v>57</v>
      </c>
      <c r="C31" s="12" t="s">
        <v>54</v>
      </c>
      <c r="D31" s="12" t="s">
        <v>55</v>
      </c>
      <c r="E31" s="12" t="s">
        <v>51</v>
      </c>
      <c r="F31" s="5">
        <f>ROUND(SUMIF([1]开票!$A$2:$A$1750,[1]申请!AQ31,[1]开票!$C$2:$C$1750),2)</f>
        <v>2497.15</v>
      </c>
      <c r="G31" s="5">
        <f>ROUND(SUMIF([1]开票!$A$2:$A$1750,[1]申请!AQ31,[1]开票!$D$2:$D$1750),2)</f>
        <v>0</v>
      </c>
      <c r="H31" s="5">
        <f>ROUND(SUMIF([1]开票!$A$2:$A$1750,[1]申请!AQ31,[1]开票!$E$2:$E$1750),2)</f>
        <v>149.83</v>
      </c>
      <c r="I31" s="5">
        <f t="shared" si="15"/>
        <v>2646.98</v>
      </c>
      <c r="J31" s="12">
        <v>2646.98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>
        <f t="shared" si="0"/>
        <v>2646.98</v>
      </c>
      <c r="AE31" s="13">
        <f t="shared" si="1"/>
        <v>0</v>
      </c>
      <c r="AF31" s="14">
        <f t="shared" si="2"/>
        <v>0</v>
      </c>
      <c r="AG31" s="13">
        <f t="shared" si="3"/>
        <v>149.83</v>
      </c>
      <c r="AH31" s="13">
        <f t="shared" si="4"/>
        <v>10.49</v>
      </c>
      <c r="AI31" s="13">
        <f t="shared" si="5"/>
        <v>4.49</v>
      </c>
      <c r="AJ31" s="13">
        <f t="shared" si="6"/>
        <v>3</v>
      </c>
      <c r="AK31" s="13">
        <f t="shared" si="7"/>
        <v>0</v>
      </c>
      <c r="AL31" s="13">
        <f t="shared" si="8"/>
        <v>0</v>
      </c>
      <c r="AM31" s="13">
        <f t="shared" si="9"/>
        <v>149.83</v>
      </c>
      <c r="AN31" s="13">
        <f t="shared" si="10"/>
        <v>10.49</v>
      </c>
      <c r="AO31" s="13">
        <f t="shared" si="11"/>
        <v>4.49</v>
      </c>
      <c r="AP31" s="13">
        <f t="shared" si="12"/>
        <v>3</v>
      </c>
      <c r="AQ31" s="13" t="str">
        <f t="shared" si="13"/>
        <v>TJ202512021655000562923</v>
      </c>
      <c r="AR31" s="13">
        <f t="shared" si="14"/>
        <v>0.06</v>
      </c>
    </row>
    <row r="32" spans="1:44">
      <c r="A32" s="12" t="s">
        <v>97</v>
      </c>
      <c r="B32" s="12" t="s">
        <v>98</v>
      </c>
      <c r="C32" s="12" t="s">
        <v>54</v>
      </c>
      <c r="D32" s="12" t="s">
        <v>55</v>
      </c>
      <c r="E32" s="12" t="s">
        <v>51</v>
      </c>
      <c r="F32" s="5">
        <f>ROUND(SUMIF([1]开票!$A$2:$A$1750,[1]申请!AQ32,[1]开票!$C$2:$C$1750),2)</f>
        <v>20572.64</v>
      </c>
      <c r="G32" s="5">
        <f>ROUND(SUMIF([1]开票!$A$2:$A$1750,[1]申请!AQ32,[1]开票!$D$2:$D$1750),2)</f>
        <v>0</v>
      </c>
      <c r="H32" s="5">
        <f>ROUND(SUMIF([1]开票!$A$2:$A$1750,[1]申请!AQ32,[1]开票!$E$2:$E$1750),2)</f>
        <v>1234.36</v>
      </c>
      <c r="I32" s="5">
        <f t="shared" si="15"/>
        <v>21807</v>
      </c>
      <c r="J32" s="12"/>
      <c r="K32" s="12"/>
      <c r="L32" s="12">
        <v>21807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>
        <f t="shared" si="0"/>
        <v>21807</v>
      </c>
      <c r="AE32" s="13">
        <f t="shared" si="1"/>
        <v>0</v>
      </c>
      <c r="AF32" s="14">
        <f t="shared" si="2"/>
        <v>0</v>
      </c>
      <c r="AG32" s="13">
        <f t="shared" si="3"/>
        <v>1234.36</v>
      </c>
      <c r="AH32" s="13">
        <f t="shared" si="4"/>
        <v>86.41</v>
      </c>
      <c r="AI32" s="13">
        <f t="shared" si="5"/>
        <v>37.03</v>
      </c>
      <c r="AJ32" s="13">
        <f t="shared" si="6"/>
        <v>24.69</v>
      </c>
      <c r="AK32" s="13">
        <f t="shared" si="7"/>
        <v>0</v>
      </c>
      <c r="AL32" s="13">
        <f t="shared" si="8"/>
        <v>0</v>
      </c>
      <c r="AM32" s="13">
        <f t="shared" si="9"/>
        <v>1234.36</v>
      </c>
      <c r="AN32" s="13">
        <f t="shared" si="10"/>
        <v>86.41</v>
      </c>
      <c r="AO32" s="13">
        <f t="shared" si="11"/>
        <v>37.03</v>
      </c>
      <c r="AP32" s="13">
        <f t="shared" si="12"/>
        <v>24.69</v>
      </c>
      <c r="AQ32" s="13" t="str">
        <f t="shared" si="13"/>
        <v>TJ202512021749000195269</v>
      </c>
      <c r="AR32" s="13">
        <f t="shared" si="14"/>
        <v>0.06</v>
      </c>
    </row>
    <row r="33" spans="1:44">
      <c r="A33" s="18" t="s">
        <v>99</v>
      </c>
      <c r="B33" s="12" t="s">
        <v>100</v>
      </c>
      <c r="C33" s="12" t="s">
        <v>46</v>
      </c>
      <c r="D33" s="12" t="s">
        <v>47</v>
      </c>
      <c r="E33" s="12" t="s">
        <v>51</v>
      </c>
      <c r="F33" s="5">
        <f>ROUND(SUMIF([1]开票!$A$2:$A$1750,[1]申请!AQ33,[1]开票!$C$2:$C$1750),2)</f>
        <v>227601.17</v>
      </c>
      <c r="G33" s="5">
        <f>ROUND(SUMIF([1]开票!$A$2:$A$1750,[1]申请!AQ33,[1]开票!$D$2:$D$1750),2)</f>
        <v>0</v>
      </c>
      <c r="H33" s="5">
        <f>ROUND(SUMIF([1]开票!$A$2:$A$1750,[1]申请!AQ33,[1]开票!$E$2:$E$1750),2)</f>
        <v>13656.07</v>
      </c>
      <c r="I33" s="5">
        <f t="shared" si="15"/>
        <v>241257.24</v>
      </c>
      <c r="J33" s="12"/>
      <c r="K33" s="12"/>
      <c r="L33" s="15"/>
      <c r="M33" s="15"/>
      <c r="N33" s="12"/>
      <c r="O33" s="12"/>
      <c r="P33" s="12"/>
      <c r="Q33" s="12"/>
      <c r="R33" s="12"/>
      <c r="S33" s="12">
        <v>151930.3</v>
      </c>
      <c r="T33" s="12">
        <v>50.15</v>
      </c>
      <c r="U33" s="12">
        <v>44906.29</v>
      </c>
      <c r="V33" s="12">
        <v>1320</v>
      </c>
      <c r="W33" s="12"/>
      <c r="X33" s="12"/>
      <c r="Y33" s="12">
        <v>0</v>
      </c>
      <c r="Z33" s="12"/>
      <c r="AA33" s="12">
        <v>43050.5</v>
      </c>
      <c r="AB33" s="12"/>
      <c r="AC33" s="12"/>
      <c r="AD33" s="12">
        <f t="shared" si="0"/>
        <v>241257.24</v>
      </c>
      <c r="AE33" s="13">
        <f t="shared" si="1"/>
        <v>0</v>
      </c>
      <c r="AF33" s="14">
        <f t="shared" si="2"/>
        <v>0</v>
      </c>
      <c r="AG33" s="13">
        <f t="shared" si="3"/>
        <v>13656.07</v>
      </c>
      <c r="AH33" s="13">
        <f t="shared" si="4"/>
        <v>955.92</v>
      </c>
      <c r="AI33" s="13">
        <f t="shared" si="5"/>
        <v>409.68</v>
      </c>
      <c r="AJ33" s="13">
        <f t="shared" si="6"/>
        <v>273.12</v>
      </c>
      <c r="AK33" s="13">
        <f t="shared" si="7"/>
        <v>0</v>
      </c>
      <c r="AL33" s="13">
        <f t="shared" si="8"/>
        <v>0</v>
      </c>
      <c r="AM33" s="13">
        <f t="shared" si="9"/>
        <v>13656.07</v>
      </c>
      <c r="AN33" s="13">
        <f t="shared" si="10"/>
        <v>955.92</v>
      </c>
      <c r="AO33" s="13">
        <f t="shared" si="11"/>
        <v>409.68</v>
      </c>
      <c r="AP33" s="13">
        <f t="shared" si="12"/>
        <v>273.12</v>
      </c>
      <c r="AQ33" s="13" t="str">
        <f t="shared" si="13"/>
        <v>TJ202512031007000000620</v>
      </c>
      <c r="AR33" s="13">
        <f t="shared" si="14"/>
        <v>0.06</v>
      </c>
    </row>
    <row r="34" spans="1:44">
      <c r="A34" s="12" t="s">
        <v>101</v>
      </c>
      <c r="B34" s="12" t="s">
        <v>102</v>
      </c>
      <c r="C34" s="12" t="s">
        <v>54</v>
      </c>
      <c r="D34" s="12" t="s">
        <v>55</v>
      </c>
      <c r="E34" s="12" t="s">
        <v>51</v>
      </c>
      <c r="F34" s="5">
        <f>ROUND(SUMIF([1]开票!$A$2:$A$1750,[1]申请!AQ34,[1]开票!$C$2:$C$1750),2)</f>
        <v>5473.52</v>
      </c>
      <c r="G34" s="5">
        <f>ROUND(SUMIF([1]开票!$A$2:$A$1750,[1]申请!AQ34,[1]开票!$D$2:$D$1750),2)</f>
        <v>0</v>
      </c>
      <c r="H34" s="5">
        <f>ROUND(SUMIF([1]开票!$A$2:$A$1750,[1]申请!AQ34,[1]开票!$E$2:$E$1750),2)</f>
        <v>328.41</v>
      </c>
      <c r="I34" s="5">
        <f t="shared" si="15"/>
        <v>5801.93</v>
      </c>
      <c r="J34" s="12"/>
      <c r="K34" s="12"/>
      <c r="L34" s="12">
        <v>5801.93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>
        <f t="shared" si="0"/>
        <v>5801.93</v>
      </c>
      <c r="AE34" s="13">
        <f t="shared" si="1"/>
        <v>0</v>
      </c>
      <c r="AF34" s="14">
        <f t="shared" si="2"/>
        <v>0</v>
      </c>
      <c r="AG34" s="13">
        <f t="shared" si="3"/>
        <v>328.41</v>
      </c>
      <c r="AH34" s="13">
        <f t="shared" si="4"/>
        <v>22.99</v>
      </c>
      <c r="AI34" s="13">
        <f t="shared" si="5"/>
        <v>9.85</v>
      </c>
      <c r="AJ34" s="13">
        <f t="shared" si="6"/>
        <v>6.57</v>
      </c>
      <c r="AK34" s="13">
        <f t="shared" si="7"/>
        <v>0</v>
      </c>
      <c r="AL34" s="13">
        <f t="shared" si="8"/>
        <v>0</v>
      </c>
      <c r="AM34" s="13">
        <f t="shared" si="9"/>
        <v>328.41</v>
      </c>
      <c r="AN34" s="13">
        <f t="shared" si="10"/>
        <v>22.99</v>
      </c>
      <c r="AO34" s="13">
        <f t="shared" si="11"/>
        <v>9.85</v>
      </c>
      <c r="AP34" s="13">
        <f t="shared" si="12"/>
        <v>6.57</v>
      </c>
      <c r="AQ34" s="13" t="str">
        <f t="shared" si="13"/>
        <v>TJ202512031207000266938</v>
      </c>
      <c r="AR34" s="13">
        <f t="shared" si="14"/>
        <v>0.06</v>
      </c>
    </row>
    <row r="35" spans="1:44">
      <c r="A35" s="12" t="s">
        <v>103</v>
      </c>
      <c r="B35" s="12" t="s">
        <v>76</v>
      </c>
      <c r="C35" s="12" t="s">
        <v>46</v>
      </c>
      <c r="D35" s="12" t="s">
        <v>47</v>
      </c>
      <c r="E35" s="12" t="s">
        <v>77</v>
      </c>
      <c r="F35" s="5">
        <f>ROUND(SUMIF([1]开票!$A$2:$A$1750,[1]申请!AQ35,[1]开票!$C$2:$C$1750),2)</f>
        <v>0</v>
      </c>
      <c r="G35" s="5">
        <f>ROUND(SUMIF([1]开票!$A$2:$A$1750,[1]申请!AQ35,[1]开票!$D$2:$D$1750),2)</f>
        <v>40870</v>
      </c>
      <c r="H35" s="5">
        <f>ROUND(SUMIF([1]开票!$A$2:$A$1750,[1]申请!AQ35,[1]开票!$E$2:$E$1750),2)</f>
        <v>0</v>
      </c>
      <c r="I35" s="5">
        <f t="shared" si="15"/>
        <v>40870</v>
      </c>
      <c r="J35" s="12"/>
      <c r="K35" s="12">
        <v>0</v>
      </c>
      <c r="L35" s="12"/>
      <c r="M35" s="12"/>
      <c r="N35" s="12"/>
      <c r="O35" s="12"/>
      <c r="P35" s="12"/>
      <c r="Q35" s="12"/>
      <c r="R35" s="12"/>
      <c r="S35" s="12">
        <v>40870</v>
      </c>
      <c r="T35" s="12">
        <v>0</v>
      </c>
      <c r="U35" s="12">
        <v>0</v>
      </c>
      <c r="V35" s="12">
        <v>0</v>
      </c>
      <c r="W35" s="12"/>
      <c r="X35" s="12">
        <v>0</v>
      </c>
      <c r="Y35" s="12"/>
      <c r="Z35" s="12"/>
      <c r="AA35" s="12"/>
      <c r="AB35" s="12"/>
      <c r="AC35" s="12"/>
      <c r="AD35" s="12">
        <f t="shared" si="0"/>
        <v>40870</v>
      </c>
      <c r="AE35" s="13">
        <f t="shared" si="1"/>
        <v>0</v>
      </c>
      <c r="AF35" s="14">
        <f t="shared" si="2"/>
        <v>0</v>
      </c>
      <c r="AG35" s="13">
        <f t="shared" si="3"/>
        <v>0</v>
      </c>
      <c r="AH35" s="13">
        <f t="shared" si="4"/>
        <v>0</v>
      </c>
      <c r="AI35" s="13">
        <f t="shared" si="5"/>
        <v>0</v>
      </c>
      <c r="AJ35" s="13">
        <f t="shared" si="6"/>
        <v>0</v>
      </c>
      <c r="AK35" s="13">
        <f t="shared" si="7"/>
        <v>0</v>
      </c>
      <c r="AL35" s="13">
        <f t="shared" si="8"/>
        <v>0</v>
      </c>
      <c r="AM35" s="13">
        <f t="shared" si="9"/>
        <v>0</v>
      </c>
      <c r="AN35" s="13">
        <f t="shared" si="10"/>
        <v>0</v>
      </c>
      <c r="AO35" s="13">
        <f t="shared" si="11"/>
        <v>0</v>
      </c>
      <c r="AP35" s="13">
        <f t="shared" si="12"/>
        <v>0</v>
      </c>
      <c r="AQ35" s="13" t="str">
        <f t="shared" si="13"/>
        <v>TJ202512031357000592545</v>
      </c>
      <c r="AR35" s="13">
        <f t="shared" si="14"/>
        <v>0.05</v>
      </c>
    </row>
    <row r="36" spans="1:44">
      <c r="A36" s="12" t="s">
        <v>104</v>
      </c>
      <c r="B36" s="12" t="s">
        <v>76</v>
      </c>
      <c r="C36" s="12" t="s">
        <v>46</v>
      </c>
      <c r="D36" s="12" t="s">
        <v>47</v>
      </c>
      <c r="E36" s="12" t="s">
        <v>77</v>
      </c>
      <c r="F36" s="5">
        <f>ROUND(SUMIF([1]开票!$A$2:$A$1750,[1]申请!AQ36,[1]开票!$C$2:$C$1750),2)</f>
        <v>2228.57</v>
      </c>
      <c r="G36" s="5">
        <f>ROUND(SUMIF([1]开票!$A$2:$A$1750,[1]申请!AQ36,[1]开票!$D$2:$D$1750),2)</f>
        <v>263840.73</v>
      </c>
      <c r="H36" s="5">
        <f>ROUND(SUMIF([1]开票!$A$2:$A$1750,[1]申请!AQ36,[1]开票!$E$2:$E$1750),2)</f>
        <v>111.43</v>
      </c>
      <c r="I36" s="5">
        <f t="shared" si="15"/>
        <v>266180.73</v>
      </c>
      <c r="J36" s="12"/>
      <c r="K36" s="12">
        <v>2340</v>
      </c>
      <c r="L36" s="12"/>
      <c r="M36" s="12"/>
      <c r="N36" s="12"/>
      <c r="O36" s="12"/>
      <c r="P36" s="12"/>
      <c r="Q36" s="12"/>
      <c r="R36" s="12"/>
      <c r="S36" s="12">
        <v>169028.62</v>
      </c>
      <c r="T36" s="12">
        <v>262.85</v>
      </c>
      <c r="U36" s="12">
        <v>71919.66</v>
      </c>
      <c r="V36" s="12">
        <v>21042</v>
      </c>
      <c r="W36" s="12"/>
      <c r="X36" s="12">
        <v>1587.6</v>
      </c>
      <c r="Y36" s="12"/>
      <c r="Z36" s="12"/>
      <c r="AA36" s="12"/>
      <c r="AB36" s="12"/>
      <c r="AC36" s="12"/>
      <c r="AD36" s="12">
        <f t="shared" si="0"/>
        <v>266180.73</v>
      </c>
      <c r="AE36" s="13">
        <f t="shared" si="1"/>
        <v>0</v>
      </c>
      <c r="AF36" s="14">
        <f t="shared" si="2"/>
        <v>0</v>
      </c>
      <c r="AG36" s="13">
        <f t="shared" si="3"/>
        <v>111.43</v>
      </c>
      <c r="AH36" s="13">
        <f t="shared" si="4"/>
        <v>7.8</v>
      </c>
      <c r="AI36" s="13">
        <f t="shared" si="5"/>
        <v>3.34</v>
      </c>
      <c r="AJ36" s="13">
        <f t="shared" si="6"/>
        <v>2.23</v>
      </c>
      <c r="AK36" s="13">
        <f t="shared" si="7"/>
        <v>0</v>
      </c>
      <c r="AL36" s="13">
        <f t="shared" si="8"/>
        <v>0</v>
      </c>
      <c r="AM36" s="13">
        <f t="shared" si="9"/>
        <v>111.43</v>
      </c>
      <c r="AN36" s="13">
        <f t="shared" si="10"/>
        <v>7.8</v>
      </c>
      <c r="AO36" s="13">
        <f t="shared" si="11"/>
        <v>3.34</v>
      </c>
      <c r="AP36" s="13">
        <f t="shared" si="12"/>
        <v>2.23</v>
      </c>
      <c r="AQ36" s="13" t="str">
        <f t="shared" si="13"/>
        <v>TJ202512031410000212031</v>
      </c>
      <c r="AR36" s="13">
        <f t="shared" si="14"/>
        <v>0.05</v>
      </c>
    </row>
    <row r="37" spans="1:44">
      <c r="A37" s="12" t="s">
        <v>105</v>
      </c>
      <c r="B37" s="12" t="s">
        <v>76</v>
      </c>
      <c r="C37" s="12" t="s">
        <v>46</v>
      </c>
      <c r="D37" s="12" t="s">
        <v>47</v>
      </c>
      <c r="E37" s="12" t="s">
        <v>51</v>
      </c>
      <c r="F37" s="5">
        <f>ROUND(SUMIF([1]开票!$A$2:$A$1750,[1]申请!AQ37,[1]开票!$C$2:$C$1750),2)</f>
        <v>35.85</v>
      </c>
      <c r="G37" s="5">
        <f>ROUND(SUMIF([1]开票!$A$2:$A$1750,[1]申请!AQ37,[1]开票!$D$2:$D$1750),2)</f>
        <v>0</v>
      </c>
      <c r="H37" s="5">
        <f>ROUND(SUMIF([1]开票!$A$2:$A$1750,[1]申请!AQ37,[1]开票!$E$2:$E$1750),2)</f>
        <v>2.15</v>
      </c>
      <c r="I37" s="5">
        <f t="shared" si="15"/>
        <v>38</v>
      </c>
      <c r="J37" s="12"/>
      <c r="K37" s="12"/>
      <c r="L37" s="12"/>
      <c r="M37" s="12"/>
      <c r="N37" s="12"/>
      <c r="O37" s="12"/>
      <c r="P37" s="12">
        <v>11</v>
      </c>
      <c r="Q37" s="12"/>
      <c r="R37" s="12"/>
      <c r="S37" s="12"/>
      <c r="T37" s="12"/>
      <c r="U37" s="12"/>
      <c r="V37" s="12"/>
      <c r="W37" s="12">
        <v>27</v>
      </c>
      <c r="X37" s="12"/>
      <c r="Y37" s="12"/>
      <c r="Z37" s="12"/>
      <c r="AA37" s="12"/>
      <c r="AB37" s="12"/>
      <c r="AC37" s="12"/>
      <c r="AD37" s="12">
        <f t="shared" si="0"/>
        <v>38</v>
      </c>
      <c r="AE37" s="13">
        <f t="shared" si="1"/>
        <v>0</v>
      </c>
      <c r="AF37" s="14">
        <f t="shared" si="2"/>
        <v>0</v>
      </c>
      <c r="AG37" s="13">
        <f t="shared" si="3"/>
        <v>2.15</v>
      </c>
      <c r="AH37" s="13">
        <f t="shared" si="4"/>
        <v>0.15</v>
      </c>
      <c r="AI37" s="13">
        <f t="shared" si="5"/>
        <v>0.06</v>
      </c>
      <c r="AJ37" s="13">
        <f t="shared" si="6"/>
        <v>0.04</v>
      </c>
      <c r="AK37" s="13">
        <f t="shared" si="7"/>
        <v>0</v>
      </c>
      <c r="AL37" s="13">
        <f t="shared" si="8"/>
        <v>0</v>
      </c>
      <c r="AM37" s="13">
        <f t="shared" si="9"/>
        <v>2.15</v>
      </c>
      <c r="AN37" s="13">
        <f t="shared" si="10"/>
        <v>0.15</v>
      </c>
      <c r="AO37" s="13">
        <f t="shared" si="11"/>
        <v>0.06</v>
      </c>
      <c r="AP37" s="13">
        <f t="shared" si="12"/>
        <v>0.04</v>
      </c>
      <c r="AQ37" s="13" t="str">
        <f t="shared" si="13"/>
        <v>TJ202512031411000228772</v>
      </c>
      <c r="AR37" s="13">
        <f t="shared" si="14"/>
        <v>0.06</v>
      </c>
    </row>
    <row r="38" spans="1:44">
      <c r="A38" s="12" t="s">
        <v>106</v>
      </c>
      <c r="B38" s="12" t="s">
        <v>57</v>
      </c>
      <c r="C38" s="12" t="s">
        <v>54</v>
      </c>
      <c r="D38" s="12" t="s">
        <v>55</v>
      </c>
      <c r="E38" s="12" t="s">
        <v>51</v>
      </c>
      <c r="F38" s="5">
        <f>ROUND(SUMIF([1]开票!$A$2:$A$1750,[1]申请!AQ38,[1]开票!$C$2:$C$1750),2)</f>
        <v>14639.37</v>
      </c>
      <c r="G38" s="5">
        <f>ROUND(SUMIF([1]开票!$A$2:$A$1750,[1]申请!AQ38,[1]开票!$D$2:$D$1750),2)</f>
        <v>0</v>
      </c>
      <c r="H38" s="5">
        <f>ROUND(SUMIF([1]开票!$A$2:$A$1750,[1]申请!AQ38,[1]开票!$E$2:$E$1750),2)</f>
        <v>878.36</v>
      </c>
      <c r="I38" s="5">
        <f t="shared" si="15"/>
        <v>15517.73</v>
      </c>
      <c r="J38" s="12">
        <v>15517.73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>
        <f t="shared" si="0"/>
        <v>15517.73</v>
      </c>
      <c r="AE38" s="13">
        <f t="shared" si="1"/>
        <v>0</v>
      </c>
      <c r="AF38" s="14">
        <f t="shared" si="2"/>
        <v>0</v>
      </c>
      <c r="AG38" s="13">
        <f t="shared" si="3"/>
        <v>878.36</v>
      </c>
      <c r="AH38" s="13">
        <f t="shared" si="4"/>
        <v>61.49</v>
      </c>
      <c r="AI38" s="13">
        <f t="shared" si="5"/>
        <v>26.35</v>
      </c>
      <c r="AJ38" s="13">
        <f t="shared" si="6"/>
        <v>17.57</v>
      </c>
      <c r="AK38" s="13">
        <f t="shared" si="7"/>
        <v>0</v>
      </c>
      <c r="AL38" s="13">
        <f t="shared" si="8"/>
        <v>0</v>
      </c>
      <c r="AM38" s="13">
        <f t="shared" si="9"/>
        <v>878.36</v>
      </c>
      <c r="AN38" s="13">
        <f t="shared" si="10"/>
        <v>61.49</v>
      </c>
      <c r="AO38" s="13">
        <f t="shared" si="11"/>
        <v>26.35</v>
      </c>
      <c r="AP38" s="13">
        <f t="shared" si="12"/>
        <v>17.57</v>
      </c>
      <c r="AQ38" s="13" t="str">
        <f t="shared" si="13"/>
        <v>TJ202512031527000358276</v>
      </c>
      <c r="AR38" s="13">
        <f t="shared" si="14"/>
        <v>0.06</v>
      </c>
    </row>
    <row r="39" spans="1:44">
      <c r="A39" s="12" t="s">
        <v>107</v>
      </c>
      <c r="B39" s="12" t="s">
        <v>108</v>
      </c>
      <c r="C39" s="12" t="s">
        <v>54</v>
      </c>
      <c r="D39" s="12" t="s">
        <v>60</v>
      </c>
      <c r="E39" s="12" t="s">
        <v>109</v>
      </c>
      <c r="F39" s="5">
        <f>ROUND(SUMIF([1]开票!$A$2:$A$1750,[1]申请!AQ39,[1]开票!$C$2:$C$1750),2)</f>
        <v>801132.08</v>
      </c>
      <c r="G39" s="5">
        <f>ROUND(SUMIF([1]开票!$A$2:$A$1750,[1]申请!AQ39,[1]开票!$D$2:$D$1750),2)</f>
        <v>0</v>
      </c>
      <c r="H39" s="5">
        <f>ROUND(SUMIF([1]开票!$A$2:$A$1750,[1]申请!AQ39,[1]开票!$E$2:$E$1750),2)</f>
        <v>48067.92</v>
      </c>
      <c r="I39" s="5">
        <f t="shared" si="15"/>
        <v>849200</v>
      </c>
      <c r="J39" s="12"/>
      <c r="K39" s="12"/>
      <c r="L39" s="12">
        <v>48066.13</v>
      </c>
      <c r="M39" s="12"/>
      <c r="N39" s="12"/>
      <c r="O39" s="12"/>
      <c r="P39" s="12"/>
      <c r="Q39" s="12"/>
      <c r="R39" s="12"/>
      <c r="S39" s="12">
        <v>801133.87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>
        <f t="shared" si="0"/>
        <v>849200</v>
      </c>
      <c r="AE39" s="13">
        <f t="shared" si="1"/>
        <v>0</v>
      </c>
      <c r="AF39" s="14">
        <f t="shared" si="2"/>
        <v>0</v>
      </c>
      <c r="AG39" s="13">
        <f t="shared" si="3"/>
        <v>48067.92</v>
      </c>
      <c r="AH39" s="13">
        <f t="shared" si="4"/>
        <v>3364.75</v>
      </c>
      <c r="AI39" s="13">
        <f t="shared" si="5"/>
        <v>1442.04</v>
      </c>
      <c r="AJ39" s="13">
        <f t="shared" si="6"/>
        <v>961.36</v>
      </c>
      <c r="AK39" s="13">
        <f t="shared" si="7"/>
        <v>0</v>
      </c>
      <c r="AL39" s="13">
        <f t="shared" si="8"/>
        <v>0</v>
      </c>
      <c r="AM39" s="13">
        <f t="shared" si="9"/>
        <v>48067.92</v>
      </c>
      <c r="AN39" s="13">
        <f t="shared" si="10"/>
        <v>3364.75</v>
      </c>
      <c r="AO39" s="13">
        <f t="shared" si="11"/>
        <v>1442.04</v>
      </c>
      <c r="AP39" s="13">
        <f t="shared" si="12"/>
        <v>961.36</v>
      </c>
      <c r="AQ39" s="13" t="str">
        <f t="shared" si="13"/>
        <v>TJ202512031546000048920</v>
      </c>
      <c r="AR39" s="13">
        <f t="shared" si="14"/>
        <v>0.06</v>
      </c>
    </row>
    <row r="40" spans="1:44">
      <c r="A40" s="12" t="s">
        <v>110</v>
      </c>
      <c r="B40" s="12" t="s">
        <v>111</v>
      </c>
      <c r="C40" s="12" t="s">
        <v>54</v>
      </c>
      <c r="D40" s="12" t="s">
        <v>55</v>
      </c>
      <c r="E40" s="12" t="s">
        <v>51</v>
      </c>
      <c r="F40" s="5">
        <f>ROUND(SUMIF([1]开票!$A$2:$A$1750,[1]申请!AQ40,[1]开票!$C$2:$C$1750),2)</f>
        <v>350842.08</v>
      </c>
      <c r="G40" s="5">
        <f>ROUND(SUMIF([1]开票!$A$2:$A$1750,[1]申请!AQ40,[1]开票!$D$2:$D$1750),2)</f>
        <v>0</v>
      </c>
      <c r="H40" s="5">
        <f>ROUND(SUMIF([1]开票!$A$2:$A$1750,[1]申请!AQ40,[1]开票!$E$2:$E$1750),2)</f>
        <v>21050.52</v>
      </c>
      <c r="I40" s="5">
        <f t="shared" si="15"/>
        <v>371892.6</v>
      </c>
      <c r="J40" s="12"/>
      <c r="K40" s="12"/>
      <c r="L40" s="12">
        <v>371892.6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>
        <f t="shared" si="0"/>
        <v>371892.6</v>
      </c>
      <c r="AE40" s="13">
        <f t="shared" si="1"/>
        <v>0</v>
      </c>
      <c r="AF40" s="14">
        <f t="shared" si="2"/>
        <v>0</v>
      </c>
      <c r="AG40" s="13">
        <f t="shared" si="3"/>
        <v>21050.52</v>
      </c>
      <c r="AH40" s="13">
        <f t="shared" si="4"/>
        <v>1473.54</v>
      </c>
      <c r="AI40" s="13">
        <f t="shared" si="5"/>
        <v>631.52</v>
      </c>
      <c r="AJ40" s="13">
        <f t="shared" si="6"/>
        <v>421.01</v>
      </c>
      <c r="AK40" s="13">
        <f t="shared" si="7"/>
        <v>0</v>
      </c>
      <c r="AL40" s="13">
        <f t="shared" si="8"/>
        <v>0</v>
      </c>
      <c r="AM40" s="13">
        <f t="shared" si="9"/>
        <v>21050.52</v>
      </c>
      <c r="AN40" s="13">
        <f t="shared" si="10"/>
        <v>1473.54</v>
      </c>
      <c r="AO40" s="13">
        <f t="shared" si="11"/>
        <v>631.52</v>
      </c>
      <c r="AP40" s="13">
        <f t="shared" si="12"/>
        <v>421.01</v>
      </c>
      <c r="AQ40" s="13" t="str">
        <f t="shared" si="13"/>
        <v>TJ202512031618000265075</v>
      </c>
      <c r="AR40" s="13">
        <f t="shared" si="14"/>
        <v>0.06</v>
      </c>
    </row>
    <row r="41" ht="15" spans="1:44">
      <c r="A41" s="18" t="s">
        <v>112</v>
      </c>
      <c r="B41" s="12" t="s">
        <v>113</v>
      </c>
      <c r="C41" s="12" t="s">
        <v>46</v>
      </c>
      <c r="D41" s="12" t="s">
        <v>47</v>
      </c>
      <c r="E41" s="12" t="s">
        <v>48</v>
      </c>
      <c r="F41" s="5">
        <f>ROUND(SUMIF([1]开票!$A$2:$A$1750,[1]申请!AQ41,[1]开票!$C$2:$C$1750),2)</f>
        <v>175.36</v>
      </c>
      <c r="G41" s="5">
        <f>ROUND(SUMIF([1]开票!$A$2:$A$1750,[1]申请!AQ41,[1]开票!$D$2:$D$1750),2)</f>
        <v>15483.78</v>
      </c>
      <c r="H41" s="5">
        <f>ROUND(SUMIF([1]开票!$A$2:$A$1750,[1]申请!AQ41,[1]开票!$E$2:$E$1750),2)</f>
        <v>8.77</v>
      </c>
      <c r="I41" s="5">
        <f t="shared" si="15"/>
        <v>15667.91</v>
      </c>
      <c r="J41" s="12">
        <v>184.13</v>
      </c>
      <c r="K41" s="12"/>
      <c r="L41" s="12"/>
      <c r="M41" s="12"/>
      <c r="N41" s="12"/>
      <c r="O41" s="12"/>
      <c r="P41" s="12"/>
      <c r="Q41" s="12"/>
      <c r="R41" s="12"/>
      <c r="S41" s="20">
        <v>11735.37</v>
      </c>
      <c r="T41" s="12">
        <v>83.1</v>
      </c>
      <c r="U41" s="12">
        <v>3415.31</v>
      </c>
      <c r="V41" s="12">
        <v>250</v>
      </c>
      <c r="W41" s="12"/>
      <c r="X41" s="12"/>
      <c r="Y41" s="12"/>
      <c r="Z41" s="12"/>
      <c r="AA41" s="12"/>
      <c r="AB41" s="12"/>
      <c r="AC41" s="12"/>
      <c r="AD41" s="12">
        <f t="shared" si="0"/>
        <v>15667.91</v>
      </c>
      <c r="AE41" s="13">
        <f t="shared" si="1"/>
        <v>0</v>
      </c>
      <c r="AF41" s="14">
        <f t="shared" si="2"/>
        <v>0</v>
      </c>
      <c r="AG41" s="13">
        <f t="shared" si="3"/>
        <v>8.77</v>
      </c>
      <c r="AH41" s="13">
        <f t="shared" si="4"/>
        <v>0.61</v>
      </c>
      <c r="AI41" s="13">
        <f t="shared" si="5"/>
        <v>0.26</v>
      </c>
      <c r="AJ41" s="13">
        <f t="shared" si="6"/>
        <v>0.18</v>
      </c>
      <c r="AK41" s="13">
        <f t="shared" si="7"/>
        <v>0</v>
      </c>
      <c r="AL41" s="13">
        <f t="shared" si="8"/>
        <v>0</v>
      </c>
      <c r="AM41" s="13">
        <f t="shared" si="9"/>
        <v>8.77</v>
      </c>
      <c r="AN41" s="13">
        <f t="shared" si="10"/>
        <v>0.61</v>
      </c>
      <c r="AO41" s="13">
        <f t="shared" si="11"/>
        <v>0.26</v>
      </c>
      <c r="AP41" s="13">
        <f t="shared" si="12"/>
        <v>0.18</v>
      </c>
      <c r="AQ41" s="13" t="str">
        <f t="shared" si="13"/>
        <v>TJ202512031746000005828</v>
      </c>
      <c r="AR41" s="13">
        <f t="shared" si="14"/>
        <v>0.05</v>
      </c>
    </row>
    <row r="42" spans="1:44">
      <c r="A42" s="18" t="s">
        <v>114</v>
      </c>
      <c r="B42" s="12" t="s">
        <v>115</v>
      </c>
      <c r="C42" s="12" t="s">
        <v>54</v>
      </c>
      <c r="D42" s="12" t="s">
        <v>55</v>
      </c>
      <c r="E42" s="12" t="s">
        <v>51</v>
      </c>
      <c r="F42" s="5">
        <f>ROUND(SUMIF([1]开票!$A$2:$A$1750,[1]申请!AQ42,[1]开票!$C$2:$C$1750),2)</f>
        <v>342970.46</v>
      </c>
      <c r="G42" s="5">
        <f>ROUND(SUMIF([1]开票!$A$2:$A$1750,[1]申请!AQ42,[1]开票!$D$2:$D$1750),2)</f>
        <v>0</v>
      </c>
      <c r="H42" s="5">
        <f>ROUND(SUMIF([1]开票!$A$2:$A$1750,[1]申请!AQ42,[1]开票!$E$2:$E$1750),2)</f>
        <v>20578.23</v>
      </c>
      <c r="I42" s="5">
        <f t="shared" si="15"/>
        <v>363548.69</v>
      </c>
      <c r="J42" s="12"/>
      <c r="K42" s="12"/>
      <c r="L42" s="12">
        <v>363548.69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>
        <f t="shared" si="0"/>
        <v>363548.69</v>
      </c>
      <c r="AE42" s="13">
        <f t="shared" si="1"/>
        <v>0</v>
      </c>
      <c r="AF42" s="14">
        <f t="shared" si="2"/>
        <v>0</v>
      </c>
      <c r="AG42" s="13">
        <f t="shared" si="3"/>
        <v>20578.23</v>
      </c>
      <c r="AH42" s="13">
        <f t="shared" si="4"/>
        <v>1440.48</v>
      </c>
      <c r="AI42" s="13">
        <f t="shared" si="5"/>
        <v>617.35</v>
      </c>
      <c r="AJ42" s="13">
        <f t="shared" si="6"/>
        <v>411.56</v>
      </c>
      <c r="AK42" s="13">
        <f t="shared" si="7"/>
        <v>0</v>
      </c>
      <c r="AL42" s="13">
        <f t="shared" si="8"/>
        <v>0</v>
      </c>
      <c r="AM42" s="13">
        <f t="shared" si="9"/>
        <v>20578.23</v>
      </c>
      <c r="AN42" s="13">
        <f t="shared" si="10"/>
        <v>1440.48</v>
      </c>
      <c r="AO42" s="13">
        <f t="shared" si="11"/>
        <v>617.35</v>
      </c>
      <c r="AP42" s="13">
        <f t="shared" si="12"/>
        <v>411.56</v>
      </c>
      <c r="AQ42" s="13" t="str">
        <f t="shared" si="13"/>
        <v>TJ202512032027000073341</v>
      </c>
      <c r="AR42" s="13">
        <f t="shared" si="14"/>
        <v>0.06</v>
      </c>
    </row>
    <row r="43" ht="15" spans="1:44">
      <c r="A43" s="19" t="s">
        <v>116</v>
      </c>
      <c r="B43" s="12" t="s">
        <v>117</v>
      </c>
      <c r="C43" s="12" t="s">
        <v>54</v>
      </c>
      <c r="D43" s="12" t="s">
        <v>55</v>
      </c>
      <c r="E43" s="12" t="s">
        <v>51</v>
      </c>
      <c r="F43" s="5">
        <f>ROUND(SUMIF([1]开票!$A$2:$A$1750,[1]申请!AQ43,[1]开票!$C$2:$C$1750),2)</f>
        <v>2830.19</v>
      </c>
      <c r="G43" s="5">
        <f>ROUND(SUMIF([1]开票!$A$2:$A$1750,[1]申请!AQ43,[1]开票!$D$2:$D$1750),2)</f>
        <v>0</v>
      </c>
      <c r="H43" s="5">
        <f>ROUND(SUMIF([1]开票!$A$2:$A$1750,[1]申请!AQ43,[1]开票!$E$2:$E$1750),2)</f>
        <v>169.81</v>
      </c>
      <c r="I43" s="5">
        <f t="shared" si="15"/>
        <v>3000</v>
      </c>
      <c r="J43" s="12"/>
      <c r="K43" s="12"/>
      <c r="L43" s="12">
        <v>3000</v>
      </c>
      <c r="M43" s="12"/>
      <c r="N43" s="12"/>
      <c r="O43" s="12"/>
      <c r="P43" s="12"/>
      <c r="Q43" s="12"/>
      <c r="R43" s="12"/>
      <c r="S43" s="20"/>
      <c r="T43" s="12"/>
      <c r="U43" s="12"/>
      <c r="V43" s="12"/>
      <c r="W43" s="12"/>
      <c r="X43" s="12"/>
      <c r="Y43" s="20"/>
      <c r="Z43" s="12"/>
      <c r="AA43" s="12"/>
      <c r="AB43" s="12"/>
      <c r="AC43" s="12"/>
      <c r="AD43" s="12">
        <f t="shared" si="0"/>
        <v>3000</v>
      </c>
      <c r="AE43" s="13">
        <f t="shared" si="1"/>
        <v>0</v>
      </c>
      <c r="AF43" s="14">
        <f t="shared" si="2"/>
        <v>0</v>
      </c>
      <c r="AG43" s="13">
        <f t="shared" si="3"/>
        <v>169.81</v>
      </c>
      <c r="AH43" s="13">
        <f t="shared" si="4"/>
        <v>11.89</v>
      </c>
      <c r="AI43" s="13">
        <f t="shared" si="5"/>
        <v>5.09</v>
      </c>
      <c r="AJ43" s="13">
        <f t="shared" si="6"/>
        <v>3.4</v>
      </c>
      <c r="AK43" s="13">
        <f t="shared" si="7"/>
        <v>0</v>
      </c>
      <c r="AL43" s="13">
        <f t="shared" si="8"/>
        <v>0</v>
      </c>
      <c r="AM43" s="13">
        <f t="shared" si="9"/>
        <v>169.81</v>
      </c>
      <c r="AN43" s="13">
        <f t="shared" si="10"/>
        <v>11.89</v>
      </c>
      <c r="AO43" s="13">
        <f t="shared" si="11"/>
        <v>5.09</v>
      </c>
      <c r="AP43" s="13">
        <f t="shared" si="12"/>
        <v>3.4</v>
      </c>
      <c r="AQ43" s="13" t="str">
        <f t="shared" si="13"/>
        <v>TJ202512032033000569623</v>
      </c>
      <c r="AR43" s="13">
        <f t="shared" si="14"/>
        <v>0.06</v>
      </c>
    </row>
    <row r="44" spans="1:44">
      <c r="A44" s="12" t="s">
        <v>118</v>
      </c>
      <c r="B44" s="12" t="s">
        <v>119</v>
      </c>
      <c r="C44" s="12" t="s">
        <v>120</v>
      </c>
      <c r="D44" s="12" t="s">
        <v>121</v>
      </c>
      <c r="E44" s="12" t="s">
        <v>51</v>
      </c>
      <c r="F44" s="5">
        <f>ROUND(SUMIF([1]开票!$A$2:$A$1750,[1]申请!AQ44,[1]开票!$C$2:$C$1750),2)</f>
        <v>31358.49</v>
      </c>
      <c r="G44" s="5">
        <f>ROUND(SUMIF([1]开票!$A$2:$A$1750,[1]申请!AQ44,[1]开票!$D$2:$D$1750),2)</f>
        <v>0</v>
      </c>
      <c r="H44" s="5">
        <f>ROUND(SUMIF([1]开票!$A$2:$A$1750,[1]申请!AQ44,[1]开票!$E$2:$E$1750),2)</f>
        <v>1881.51</v>
      </c>
      <c r="I44" s="5">
        <f t="shared" si="15"/>
        <v>33240</v>
      </c>
      <c r="J44" s="12"/>
      <c r="K44" s="12"/>
      <c r="L44" s="12">
        <v>33240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>
        <f t="shared" si="0"/>
        <v>33240</v>
      </c>
      <c r="AE44" s="13">
        <f t="shared" si="1"/>
        <v>0</v>
      </c>
      <c r="AF44" s="14">
        <f t="shared" si="2"/>
        <v>0</v>
      </c>
      <c r="AG44" s="13">
        <f t="shared" si="3"/>
        <v>1881.51</v>
      </c>
      <c r="AH44" s="13">
        <f t="shared" si="4"/>
        <v>131.71</v>
      </c>
      <c r="AI44" s="13">
        <f t="shared" si="5"/>
        <v>56.45</v>
      </c>
      <c r="AJ44" s="13">
        <f t="shared" si="6"/>
        <v>37.63</v>
      </c>
      <c r="AK44" s="13">
        <f t="shared" si="7"/>
        <v>0</v>
      </c>
      <c r="AL44" s="13">
        <f t="shared" si="8"/>
        <v>0</v>
      </c>
      <c r="AM44" s="13">
        <f t="shared" si="9"/>
        <v>1881.51</v>
      </c>
      <c r="AN44" s="13">
        <f t="shared" si="10"/>
        <v>131.71</v>
      </c>
      <c r="AO44" s="13">
        <f t="shared" si="11"/>
        <v>56.45</v>
      </c>
      <c r="AP44" s="13">
        <f t="shared" si="12"/>
        <v>37.63</v>
      </c>
      <c r="AQ44" s="13" t="str">
        <f t="shared" si="13"/>
        <v>TJ202512041106000591442</v>
      </c>
      <c r="AR44" s="13">
        <f t="shared" si="14"/>
        <v>0.06</v>
      </c>
    </row>
    <row r="45" spans="1:44">
      <c r="A45" s="12" t="s">
        <v>122</v>
      </c>
      <c r="B45" s="12" t="s">
        <v>123</v>
      </c>
      <c r="C45" s="12" t="s">
        <v>46</v>
      </c>
      <c r="D45" s="12" t="s">
        <v>47</v>
      </c>
      <c r="E45" s="12" t="s">
        <v>48</v>
      </c>
      <c r="F45" s="5">
        <f>ROUND(SUMIF([1]开票!$A$2:$A$1750,[1]申请!AQ45,[1]开票!$C$2:$C$1750),2)</f>
        <v>1262.86</v>
      </c>
      <c r="G45" s="5">
        <f>ROUND(SUMIF([1]开票!$A$2:$A$1750,[1]申请!AQ45,[1]开票!$D$2:$D$1750),2)</f>
        <v>922694.92</v>
      </c>
      <c r="H45" s="5">
        <f>ROUND(SUMIF([1]开票!$A$2:$A$1750,[1]申请!AQ45,[1]开票!$E$2:$E$1750),2)</f>
        <v>63.14</v>
      </c>
      <c r="I45" s="5">
        <f t="shared" si="15"/>
        <v>924020.92</v>
      </c>
      <c r="J45" s="12">
        <v>1326</v>
      </c>
      <c r="K45" s="12"/>
      <c r="L45" s="12"/>
      <c r="M45" s="12"/>
      <c r="N45" s="12"/>
      <c r="O45" s="12"/>
      <c r="P45" s="12"/>
      <c r="Q45" s="12"/>
      <c r="R45" s="12"/>
      <c r="S45" s="12">
        <v>725718.99</v>
      </c>
      <c r="T45" s="12">
        <v>26691.68</v>
      </c>
      <c r="U45" s="12">
        <v>114124.25</v>
      </c>
      <c r="V45" s="12">
        <v>56160</v>
      </c>
      <c r="W45" s="12">
        <v>0</v>
      </c>
      <c r="X45" s="12"/>
      <c r="Y45" s="12"/>
      <c r="Z45" s="12"/>
      <c r="AA45" s="12"/>
      <c r="AB45" s="12"/>
      <c r="AC45" s="12"/>
      <c r="AD45" s="12">
        <f t="shared" si="0"/>
        <v>924020.92</v>
      </c>
      <c r="AE45" s="13">
        <f t="shared" si="1"/>
        <v>0</v>
      </c>
      <c r="AF45" s="14">
        <f t="shared" si="2"/>
        <v>0</v>
      </c>
      <c r="AG45" s="13">
        <f t="shared" si="3"/>
        <v>63.14</v>
      </c>
      <c r="AH45" s="13">
        <f t="shared" si="4"/>
        <v>4.42</v>
      </c>
      <c r="AI45" s="13">
        <f t="shared" si="5"/>
        <v>1.89</v>
      </c>
      <c r="AJ45" s="13">
        <f t="shared" si="6"/>
        <v>1.26</v>
      </c>
      <c r="AK45" s="13">
        <f t="shared" si="7"/>
        <v>0</v>
      </c>
      <c r="AL45" s="13">
        <f t="shared" si="8"/>
        <v>0</v>
      </c>
      <c r="AM45" s="13">
        <f t="shared" si="9"/>
        <v>63.14</v>
      </c>
      <c r="AN45" s="13">
        <f t="shared" si="10"/>
        <v>4.42</v>
      </c>
      <c r="AO45" s="13">
        <f t="shared" si="11"/>
        <v>1.89</v>
      </c>
      <c r="AP45" s="13">
        <f t="shared" si="12"/>
        <v>1.26</v>
      </c>
      <c r="AQ45" s="13" t="str">
        <f t="shared" si="13"/>
        <v>TJ202512041108000555761</v>
      </c>
      <c r="AR45" s="13">
        <f t="shared" si="14"/>
        <v>0.05</v>
      </c>
    </row>
    <row r="46" spans="1:44">
      <c r="A46" s="12" t="s">
        <v>124</v>
      </c>
      <c r="B46" s="12" t="s">
        <v>125</v>
      </c>
      <c r="C46" s="12" t="s">
        <v>54</v>
      </c>
      <c r="D46" s="12" t="s">
        <v>47</v>
      </c>
      <c r="E46" s="12" t="s">
        <v>51</v>
      </c>
      <c r="F46" s="5">
        <f>ROUND(SUMIF([1]开票!$A$2:$A$1750,[1]申请!AQ46,[1]开票!$C$2:$C$1750),2)</f>
        <v>496539.97</v>
      </c>
      <c r="G46" s="5">
        <f>ROUND(SUMIF([1]开票!$A$2:$A$1750,[1]申请!AQ46,[1]开票!$D$2:$D$1750),2)</f>
        <v>0</v>
      </c>
      <c r="H46" s="5">
        <f>ROUND(SUMIF([1]开票!$A$2:$A$1750,[1]申请!AQ46,[1]开票!$E$2:$E$1750),2)</f>
        <v>29792.4</v>
      </c>
      <c r="I46" s="5">
        <f t="shared" si="15"/>
        <v>526332.37</v>
      </c>
      <c r="J46" s="12"/>
      <c r="K46" s="12"/>
      <c r="L46" s="12">
        <v>526332.37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>
        <f t="shared" si="0"/>
        <v>526332.37</v>
      </c>
      <c r="AE46" s="13">
        <f t="shared" si="1"/>
        <v>0</v>
      </c>
      <c r="AF46" s="14">
        <f t="shared" si="2"/>
        <v>0</v>
      </c>
      <c r="AG46" s="13">
        <f t="shared" si="3"/>
        <v>29792.4</v>
      </c>
      <c r="AH46" s="13">
        <f t="shared" si="4"/>
        <v>2085.47</v>
      </c>
      <c r="AI46" s="13">
        <f t="shared" si="5"/>
        <v>893.77</v>
      </c>
      <c r="AJ46" s="13">
        <f t="shared" si="6"/>
        <v>595.85</v>
      </c>
      <c r="AK46" s="13">
        <f t="shared" si="7"/>
        <v>0</v>
      </c>
      <c r="AL46" s="13">
        <f t="shared" si="8"/>
        <v>0</v>
      </c>
      <c r="AM46" s="13">
        <f t="shared" si="9"/>
        <v>29792.4</v>
      </c>
      <c r="AN46" s="13">
        <f t="shared" si="10"/>
        <v>2085.47</v>
      </c>
      <c r="AO46" s="13">
        <f t="shared" si="11"/>
        <v>893.77</v>
      </c>
      <c r="AP46" s="13">
        <f t="shared" si="12"/>
        <v>595.85</v>
      </c>
      <c r="AQ46" s="13" t="str">
        <f t="shared" si="13"/>
        <v>TJ202512041109000269378</v>
      </c>
      <c r="AR46" s="13">
        <f t="shared" si="14"/>
        <v>0.06</v>
      </c>
    </row>
    <row r="47" spans="1:44">
      <c r="A47" s="12" t="s">
        <v>126</v>
      </c>
      <c r="B47" s="12" t="s">
        <v>127</v>
      </c>
      <c r="C47" s="12" t="s">
        <v>54</v>
      </c>
      <c r="D47" s="12" t="s">
        <v>55</v>
      </c>
      <c r="E47" s="12" t="s">
        <v>51</v>
      </c>
      <c r="F47" s="5">
        <f>ROUND(SUMIF([1]开票!$A$2:$A$1750,[1]申请!AQ47,[1]开票!$C$2:$C$1750),2)</f>
        <v>33229.98</v>
      </c>
      <c r="G47" s="5">
        <f>ROUND(SUMIF([1]开票!$A$2:$A$1750,[1]申请!AQ47,[1]开票!$D$2:$D$1750),2)</f>
        <v>0</v>
      </c>
      <c r="H47" s="5">
        <f>ROUND(SUMIF([1]开票!$A$2:$A$1750,[1]申请!AQ47,[1]开票!$E$2:$E$1750),2)</f>
        <v>1993.8</v>
      </c>
      <c r="I47" s="5">
        <f t="shared" si="15"/>
        <v>35223.78</v>
      </c>
      <c r="J47" s="12"/>
      <c r="K47" s="12"/>
      <c r="L47" s="16">
        <v>35223.78</v>
      </c>
      <c r="M47" s="16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>
        <f t="shared" si="0"/>
        <v>35223.78</v>
      </c>
      <c r="AE47" s="13">
        <f t="shared" si="1"/>
        <v>0</v>
      </c>
      <c r="AF47" s="14">
        <f t="shared" si="2"/>
        <v>0</v>
      </c>
      <c r="AG47" s="13">
        <f t="shared" si="3"/>
        <v>1993.8</v>
      </c>
      <c r="AH47" s="13">
        <f t="shared" si="4"/>
        <v>139.57</v>
      </c>
      <c r="AI47" s="13">
        <f t="shared" si="5"/>
        <v>59.81</v>
      </c>
      <c r="AJ47" s="13">
        <f t="shared" si="6"/>
        <v>39.88</v>
      </c>
      <c r="AK47" s="13">
        <f t="shared" si="7"/>
        <v>0</v>
      </c>
      <c r="AL47" s="13">
        <f t="shared" si="8"/>
        <v>0</v>
      </c>
      <c r="AM47" s="13">
        <f t="shared" si="9"/>
        <v>1993.8</v>
      </c>
      <c r="AN47" s="13">
        <f t="shared" si="10"/>
        <v>139.57</v>
      </c>
      <c r="AO47" s="13">
        <f t="shared" si="11"/>
        <v>59.81</v>
      </c>
      <c r="AP47" s="13">
        <f t="shared" si="12"/>
        <v>39.88</v>
      </c>
      <c r="AQ47" s="13" t="str">
        <f t="shared" si="13"/>
        <v>TJ202512041150000191842</v>
      </c>
      <c r="AR47" s="13">
        <f t="shared" si="14"/>
        <v>0.06</v>
      </c>
    </row>
    <row r="48" spans="1:44">
      <c r="A48" s="18" t="s">
        <v>128</v>
      </c>
      <c r="B48" s="12" t="s">
        <v>129</v>
      </c>
      <c r="C48" s="12" t="s">
        <v>46</v>
      </c>
      <c r="D48" s="12" t="s">
        <v>47</v>
      </c>
      <c r="E48" s="12" t="s">
        <v>51</v>
      </c>
      <c r="F48" s="5">
        <f>ROUND(SUMIF([1]开票!$A$2:$A$1750,[1]申请!AQ48,[1]开票!$C$2:$C$1750),2)</f>
        <v>79121.8</v>
      </c>
      <c r="G48" s="5">
        <f>ROUND(SUMIF([1]开票!$A$2:$A$1750,[1]申请!AQ48,[1]开票!$D$2:$D$1750),2)</f>
        <v>0</v>
      </c>
      <c r="H48" s="5">
        <f>ROUND(SUMIF([1]开票!$A$2:$A$1750,[1]申请!AQ48,[1]开票!$E$2:$E$1750),2)</f>
        <v>4747.31</v>
      </c>
      <c r="I48" s="5">
        <f t="shared" si="15"/>
        <v>83869.11</v>
      </c>
      <c r="J48" s="12">
        <v>4756.95</v>
      </c>
      <c r="K48" s="12"/>
      <c r="L48" s="15">
        <v>524.16</v>
      </c>
      <c r="M48" s="12"/>
      <c r="N48" s="12"/>
      <c r="O48" s="12"/>
      <c r="P48" s="12"/>
      <c r="Q48" s="12"/>
      <c r="R48" s="12"/>
      <c r="S48" s="12">
        <v>53440.3</v>
      </c>
      <c r="T48" s="12"/>
      <c r="U48" s="12">
        <v>19387.7</v>
      </c>
      <c r="V48" s="12">
        <v>5760</v>
      </c>
      <c r="W48" s="12"/>
      <c r="X48" s="12"/>
      <c r="Y48" s="12"/>
      <c r="Z48" s="12"/>
      <c r="AA48" s="15"/>
      <c r="AB48" s="12"/>
      <c r="AC48" s="12"/>
      <c r="AD48" s="12">
        <f t="shared" si="0"/>
        <v>83869.11</v>
      </c>
      <c r="AE48" s="13">
        <f t="shared" si="1"/>
        <v>0</v>
      </c>
      <c r="AF48" s="14">
        <f t="shared" si="2"/>
        <v>0</v>
      </c>
      <c r="AG48" s="13">
        <f t="shared" si="3"/>
        <v>4747.31</v>
      </c>
      <c r="AH48" s="13">
        <f t="shared" si="4"/>
        <v>332.31</v>
      </c>
      <c r="AI48" s="13">
        <f t="shared" si="5"/>
        <v>142.42</v>
      </c>
      <c r="AJ48" s="13">
        <f t="shared" si="6"/>
        <v>94.95</v>
      </c>
      <c r="AK48" s="13">
        <f t="shared" si="7"/>
        <v>0</v>
      </c>
      <c r="AL48" s="13">
        <f t="shared" si="8"/>
        <v>0</v>
      </c>
      <c r="AM48" s="13">
        <f t="shared" si="9"/>
        <v>4747.31</v>
      </c>
      <c r="AN48" s="13">
        <f t="shared" si="10"/>
        <v>332.31</v>
      </c>
      <c r="AO48" s="13">
        <f t="shared" si="11"/>
        <v>142.42</v>
      </c>
      <c r="AP48" s="13">
        <f t="shared" si="12"/>
        <v>94.95</v>
      </c>
      <c r="AQ48" s="13" t="str">
        <f t="shared" si="13"/>
        <v>TJ202512041449000118757</v>
      </c>
      <c r="AR48" s="13">
        <f t="shared" si="14"/>
        <v>0.06</v>
      </c>
    </row>
    <row r="49" spans="1:44">
      <c r="A49" s="12" t="s">
        <v>130</v>
      </c>
      <c r="B49" s="12" t="s">
        <v>131</v>
      </c>
      <c r="C49" s="12" t="s">
        <v>132</v>
      </c>
      <c r="D49" s="12" t="s">
        <v>60</v>
      </c>
      <c r="E49" s="12" t="s">
        <v>51</v>
      </c>
      <c r="F49" s="5">
        <f>ROUND(SUMIF([1]开票!$A$2:$A$1750,[1]申请!AQ49,[1]开票!$C$2:$C$1750),2)</f>
        <v>26277.2</v>
      </c>
      <c r="G49" s="5">
        <f>ROUND(SUMIF([1]开票!$A$2:$A$1750,[1]申请!AQ49,[1]开票!$D$2:$D$1750),2)</f>
        <v>0</v>
      </c>
      <c r="H49" s="5">
        <f>ROUND(SUMIF([1]开票!$A$2:$A$1750,[1]申请!AQ49,[1]开票!$E$2:$E$1750),2)</f>
        <v>1576.63</v>
      </c>
      <c r="I49" s="5">
        <f t="shared" si="15"/>
        <v>27853.83</v>
      </c>
      <c r="J49" s="12"/>
      <c r="K49" s="12"/>
      <c r="L49" s="12"/>
      <c r="M49" s="12"/>
      <c r="N49" s="12"/>
      <c r="O49" s="12"/>
      <c r="P49" s="12"/>
      <c r="Q49" s="12">
        <v>1392.83</v>
      </c>
      <c r="R49" s="12"/>
      <c r="S49" s="12"/>
      <c r="T49" s="12"/>
      <c r="U49" s="12"/>
      <c r="V49" s="12"/>
      <c r="W49" s="12"/>
      <c r="X49" s="12"/>
      <c r="Y49" s="12"/>
      <c r="Z49" s="12">
        <v>26461</v>
      </c>
      <c r="AA49" s="12"/>
      <c r="AB49" s="12"/>
      <c r="AC49" s="12"/>
      <c r="AD49" s="12">
        <f t="shared" si="0"/>
        <v>27853.83</v>
      </c>
      <c r="AE49" s="13">
        <f t="shared" si="1"/>
        <v>0</v>
      </c>
      <c r="AF49" s="14">
        <f t="shared" si="2"/>
        <v>0</v>
      </c>
      <c r="AG49" s="13">
        <f t="shared" si="3"/>
        <v>1576.63</v>
      </c>
      <c r="AH49" s="13">
        <f t="shared" si="4"/>
        <v>110.36</v>
      </c>
      <c r="AI49" s="13">
        <f t="shared" si="5"/>
        <v>47.3</v>
      </c>
      <c r="AJ49" s="13">
        <f t="shared" si="6"/>
        <v>31.53</v>
      </c>
      <c r="AK49" s="13">
        <f t="shared" si="7"/>
        <v>0</v>
      </c>
      <c r="AL49" s="13">
        <f t="shared" si="8"/>
        <v>0</v>
      </c>
      <c r="AM49" s="13">
        <f t="shared" si="9"/>
        <v>1576.63</v>
      </c>
      <c r="AN49" s="13">
        <f t="shared" si="10"/>
        <v>110.36</v>
      </c>
      <c r="AO49" s="13">
        <f t="shared" si="11"/>
        <v>47.3</v>
      </c>
      <c r="AP49" s="13">
        <f t="shared" si="12"/>
        <v>31.53</v>
      </c>
      <c r="AQ49" s="13" t="str">
        <f t="shared" si="13"/>
        <v>TJ202512041457000012958</v>
      </c>
      <c r="AR49" s="13">
        <f t="shared" si="14"/>
        <v>0.06</v>
      </c>
    </row>
    <row r="50" spans="1:44">
      <c r="A50" s="12" t="s">
        <v>133</v>
      </c>
      <c r="B50" s="12" t="s">
        <v>57</v>
      </c>
      <c r="C50" s="12" t="s">
        <v>54</v>
      </c>
      <c r="D50" s="12" t="s">
        <v>55</v>
      </c>
      <c r="E50" s="12" t="s">
        <v>51</v>
      </c>
      <c r="F50" s="5">
        <f>ROUND(SUMIF([1]开票!$A$2:$A$1750,[1]申请!AQ50,[1]开票!$C$2:$C$1750),2)</f>
        <v>68697.25</v>
      </c>
      <c r="G50" s="5">
        <f>ROUND(SUMIF([1]开票!$A$2:$A$1750,[1]申请!AQ50,[1]开票!$D$2:$D$1750),2)</f>
        <v>0</v>
      </c>
      <c r="H50" s="5">
        <f>ROUND(SUMIF([1]开票!$A$2:$A$1750,[1]申请!AQ50,[1]开票!$E$2:$E$1750),2)</f>
        <v>4121.84</v>
      </c>
      <c r="I50" s="5">
        <f t="shared" si="15"/>
        <v>72819.09</v>
      </c>
      <c r="J50" s="12">
        <v>72819.09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>
        <f t="shared" si="0"/>
        <v>72819.09</v>
      </c>
      <c r="AE50" s="13">
        <f t="shared" si="1"/>
        <v>0</v>
      </c>
      <c r="AF50" s="14">
        <f t="shared" si="2"/>
        <v>0</v>
      </c>
      <c r="AG50" s="13">
        <f t="shared" si="3"/>
        <v>4121.84</v>
      </c>
      <c r="AH50" s="13">
        <f t="shared" si="4"/>
        <v>288.53</v>
      </c>
      <c r="AI50" s="13">
        <f t="shared" si="5"/>
        <v>123.66</v>
      </c>
      <c r="AJ50" s="13">
        <f t="shared" si="6"/>
        <v>82.44</v>
      </c>
      <c r="AK50" s="13">
        <f t="shared" si="7"/>
        <v>0</v>
      </c>
      <c r="AL50" s="13">
        <f t="shared" si="8"/>
        <v>0</v>
      </c>
      <c r="AM50" s="13">
        <f t="shared" si="9"/>
        <v>4121.84</v>
      </c>
      <c r="AN50" s="13">
        <f t="shared" si="10"/>
        <v>288.53</v>
      </c>
      <c r="AO50" s="13">
        <f t="shared" si="11"/>
        <v>123.66</v>
      </c>
      <c r="AP50" s="13">
        <f t="shared" si="12"/>
        <v>82.44</v>
      </c>
      <c r="AQ50" s="13" t="str">
        <f t="shared" si="13"/>
        <v>TJ202512041458000435054</v>
      </c>
      <c r="AR50" s="13">
        <f t="shared" si="14"/>
        <v>0.06</v>
      </c>
    </row>
    <row r="51" spans="1:44">
      <c r="A51" s="12" t="s">
        <v>134</v>
      </c>
      <c r="B51" s="12" t="s">
        <v>57</v>
      </c>
      <c r="C51" s="12" t="s">
        <v>54</v>
      </c>
      <c r="D51" s="12" t="s">
        <v>55</v>
      </c>
      <c r="E51" s="12" t="s">
        <v>51</v>
      </c>
      <c r="F51" s="5">
        <f>ROUND(SUMIF([1]开票!$A$2:$A$1750,[1]申请!AQ51,[1]开票!$C$2:$C$1750),2)</f>
        <v>70.75</v>
      </c>
      <c r="G51" s="5">
        <f>ROUND(SUMIF([1]开票!$A$2:$A$1750,[1]申请!AQ51,[1]开票!$D$2:$D$1750),2)</f>
        <v>0</v>
      </c>
      <c r="H51" s="5">
        <f>ROUND(SUMIF([1]开票!$A$2:$A$1750,[1]申请!AQ51,[1]开票!$E$2:$E$1750),2)</f>
        <v>4.25</v>
      </c>
      <c r="I51" s="5">
        <f t="shared" si="15"/>
        <v>75</v>
      </c>
      <c r="J51" s="12">
        <v>75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>
        <f t="shared" si="0"/>
        <v>75</v>
      </c>
      <c r="AE51" s="13">
        <f t="shared" si="1"/>
        <v>0</v>
      </c>
      <c r="AF51" s="14">
        <f t="shared" si="2"/>
        <v>0</v>
      </c>
      <c r="AG51" s="13">
        <f t="shared" si="3"/>
        <v>4.25</v>
      </c>
      <c r="AH51" s="13">
        <f t="shared" si="4"/>
        <v>0.3</v>
      </c>
      <c r="AI51" s="13">
        <f t="shared" si="5"/>
        <v>0.13</v>
      </c>
      <c r="AJ51" s="13">
        <f t="shared" si="6"/>
        <v>0.09</v>
      </c>
      <c r="AK51" s="13">
        <f t="shared" si="7"/>
        <v>0</v>
      </c>
      <c r="AL51" s="13">
        <f t="shared" si="8"/>
        <v>0</v>
      </c>
      <c r="AM51" s="13">
        <f t="shared" si="9"/>
        <v>4.25</v>
      </c>
      <c r="AN51" s="13">
        <f t="shared" si="10"/>
        <v>0.3</v>
      </c>
      <c r="AO51" s="13">
        <f t="shared" si="11"/>
        <v>0.13</v>
      </c>
      <c r="AP51" s="13">
        <f t="shared" si="12"/>
        <v>0.09</v>
      </c>
      <c r="AQ51" s="13" t="str">
        <f t="shared" si="13"/>
        <v>TJ202512041505000295118</v>
      </c>
      <c r="AR51" s="13">
        <f t="shared" si="14"/>
        <v>0.06</v>
      </c>
    </row>
    <row r="52" spans="1:44">
      <c r="A52" s="12" t="s">
        <v>135</v>
      </c>
      <c r="B52" s="12" t="s">
        <v>57</v>
      </c>
      <c r="C52" s="12" t="s">
        <v>54</v>
      </c>
      <c r="D52" s="12" t="s">
        <v>55</v>
      </c>
      <c r="E52" s="12" t="s">
        <v>51</v>
      </c>
      <c r="F52" s="5">
        <f>ROUND(SUMIF([1]开票!$A$2:$A$1750,[1]申请!AQ52,[1]开票!$C$2:$C$1750),2)</f>
        <v>488198.87</v>
      </c>
      <c r="G52" s="5">
        <f>ROUND(SUMIF([1]开票!$A$2:$A$1750,[1]申请!AQ52,[1]开票!$D$2:$D$1750),2)</f>
        <v>0</v>
      </c>
      <c r="H52" s="5">
        <f>ROUND(SUMIF([1]开票!$A$2:$A$1750,[1]申请!AQ52,[1]开票!$E$2:$E$1750),2)</f>
        <v>29291.93</v>
      </c>
      <c r="I52" s="5">
        <f t="shared" si="15"/>
        <v>517490.8</v>
      </c>
      <c r="J52" s="12">
        <v>517490.8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>
        <f t="shared" si="0"/>
        <v>517490.8</v>
      </c>
      <c r="AE52" s="13">
        <f t="shared" si="1"/>
        <v>0</v>
      </c>
      <c r="AF52" s="14">
        <f t="shared" si="2"/>
        <v>0</v>
      </c>
      <c r="AG52" s="13">
        <f t="shared" si="3"/>
        <v>29291.93</v>
      </c>
      <c r="AH52" s="13">
        <f t="shared" si="4"/>
        <v>2050.44</v>
      </c>
      <c r="AI52" s="13">
        <f t="shared" si="5"/>
        <v>878.76</v>
      </c>
      <c r="AJ52" s="13">
        <f t="shared" si="6"/>
        <v>585.84</v>
      </c>
      <c r="AK52" s="13">
        <f t="shared" si="7"/>
        <v>0</v>
      </c>
      <c r="AL52" s="13">
        <f t="shared" si="8"/>
        <v>0</v>
      </c>
      <c r="AM52" s="13">
        <f t="shared" si="9"/>
        <v>29291.93</v>
      </c>
      <c r="AN52" s="13">
        <f t="shared" si="10"/>
        <v>2050.44</v>
      </c>
      <c r="AO52" s="13">
        <f t="shared" si="11"/>
        <v>878.76</v>
      </c>
      <c r="AP52" s="13">
        <f t="shared" si="12"/>
        <v>585.84</v>
      </c>
      <c r="AQ52" s="13" t="str">
        <f t="shared" si="13"/>
        <v>TJ202512041506000079112</v>
      </c>
      <c r="AR52" s="13">
        <f t="shared" si="14"/>
        <v>0.06</v>
      </c>
    </row>
    <row r="53" spans="1:44">
      <c r="A53" s="12" t="s">
        <v>136</v>
      </c>
      <c r="B53" s="12" t="s">
        <v>57</v>
      </c>
      <c r="C53" s="12" t="s">
        <v>54</v>
      </c>
      <c r="D53" s="12" t="s">
        <v>55</v>
      </c>
      <c r="E53" s="12" t="s">
        <v>51</v>
      </c>
      <c r="F53" s="5">
        <f>ROUND(SUMIF([1]开票!$A$2:$A$1750,[1]申请!AQ53,[1]开票!$C$2:$C$1750),2)</f>
        <v>1464113.39</v>
      </c>
      <c r="G53" s="5">
        <f>ROUND(SUMIF([1]开票!$A$2:$A$1750,[1]申请!AQ53,[1]开票!$D$2:$D$1750),2)</f>
        <v>0</v>
      </c>
      <c r="H53" s="5">
        <f>ROUND(SUMIF([1]开票!$A$2:$A$1750,[1]申请!AQ53,[1]开票!$E$2:$E$1750),2)</f>
        <v>87846.8</v>
      </c>
      <c r="I53" s="5">
        <f t="shared" si="15"/>
        <v>1551960.19</v>
      </c>
      <c r="J53" s="12">
        <v>1551960.19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>
        <f t="shared" si="0"/>
        <v>1551960.19</v>
      </c>
      <c r="AE53" s="13">
        <f t="shared" si="1"/>
        <v>0</v>
      </c>
      <c r="AF53" s="14">
        <f t="shared" si="2"/>
        <v>0</v>
      </c>
      <c r="AG53" s="13">
        <f t="shared" si="3"/>
        <v>87846.8</v>
      </c>
      <c r="AH53" s="13">
        <f t="shared" si="4"/>
        <v>6149.28</v>
      </c>
      <c r="AI53" s="13">
        <f t="shared" si="5"/>
        <v>2635.4</v>
      </c>
      <c r="AJ53" s="13">
        <f t="shared" si="6"/>
        <v>1756.94</v>
      </c>
      <c r="AK53" s="13">
        <f t="shared" si="7"/>
        <v>0</v>
      </c>
      <c r="AL53" s="13">
        <f t="shared" si="8"/>
        <v>0</v>
      </c>
      <c r="AM53" s="13">
        <f t="shared" si="9"/>
        <v>87846.8</v>
      </c>
      <c r="AN53" s="13">
        <f t="shared" si="10"/>
        <v>6149.28</v>
      </c>
      <c r="AO53" s="13">
        <f t="shared" si="11"/>
        <v>2635.4</v>
      </c>
      <c r="AP53" s="13">
        <f t="shared" si="12"/>
        <v>1756.94</v>
      </c>
      <c r="AQ53" s="13" t="str">
        <f t="shared" si="13"/>
        <v>TJ202512041506000359072</v>
      </c>
      <c r="AR53" s="13">
        <f t="shared" si="14"/>
        <v>0.06</v>
      </c>
    </row>
    <row r="54" spans="1:44">
      <c r="A54" s="19" t="s">
        <v>137</v>
      </c>
      <c r="B54" s="12" t="s">
        <v>57</v>
      </c>
      <c r="C54" s="12" t="s">
        <v>54</v>
      </c>
      <c r="D54" s="12" t="s">
        <v>55</v>
      </c>
      <c r="E54" s="12" t="s">
        <v>51</v>
      </c>
      <c r="F54" s="5">
        <f>ROUND(SUMIF([1]开票!$A$2:$A$1750,[1]申请!AQ54,[1]开票!$C$2:$C$1750),2)</f>
        <v>7292.12</v>
      </c>
      <c r="G54" s="5">
        <f>ROUND(SUMIF([1]开票!$A$2:$A$1750,[1]申请!AQ54,[1]开票!$D$2:$D$1750),2)</f>
        <v>0</v>
      </c>
      <c r="H54" s="5">
        <f>ROUND(SUMIF([1]开票!$A$2:$A$1750,[1]申请!AQ54,[1]开票!$E$2:$E$1750),2)</f>
        <v>437.53</v>
      </c>
      <c r="I54" s="5">
        <f t="shared" si="15"/>
        <v>7729.65</v>
      </c>
      <c r="J54" s="12">
        <v>7729.65</v>
      </c>
      <c r="K54" s="12"/>
      <c r="L54" s="15"/>
      <c r="M54" s="15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>
        <f t="shared" si="0"/>
        <v>7729.65</v>
      </c>
      <c r="AE54" s="13">
        <f t="shared" si="1"/>
        <v>0</v>
      </c>
      <c r="AF54" s="14">
        <f t="shared" si="2"/>
        <v>0</v>
      </c>
      <c r="AG54" s="13">
        <f t="shared" si="3"/>
        <v>437.53</v>
      </c>
      <c r="AH54" s="13">
        <f t="shared" si="4"/>
        <v>30.63</v>
      </c>
      <c r="AI54" s="13">
        <f t="shared" si="5"/>
        <v>13.13</v>
      </c>
      <c r="AJ54" s="13">
        <f t="shared" si="6"/>
        <v>8.75</v>
      </c>
      <c r="AK54" s="13">
        <f t="shared" si="7"/>
        <v>0</v>
      </c>
      <c r="AL54" s="13">
        <f t="shared" si="8"/>
        <v>0</v>
      </c>
      <c r="AM54" s="13">
        <f t="shared" si="9"/>
        <v>437.53</v>
      </c>
      <c r="AN54" s="13">
        <f t="shared" si="10"/>
        <v>30.63</v>
      </c>
      <c r="AO54" s="13">
        <f t="shared" si="11"/>
        <v>13.13</v>
      </c>
      <c r="AP54" s="13">
        <f t="shared" si="12"/>
        <v>8.75</v>
      </c>
      <c r="AQ54" s="13" t="str">
        <f t="shared" si="13"/>
        <v>TJ202512041507000523293</v>
      </c>
      <c r="AR54" s="13">
        <f t="shared" si="14"/>
        <v>0.06</v>
      </c>
    </row>
    <row r="55" spans="1:44">
      <c r="A55" s="12" t="s">
        <v>138</v>
      </c>
      <c r="B55" s="12" t="s">
        <v>139</v>
      </c>
      <c r="C55" s="12" t="s">
        <v>46</v>
      </c>
      <c r="D55" s="12" t="s">
        <v>47</v>
      </c>
      <c r="E55" s="12" t="s">
        <v>48</v>
      </c>
      <c r="F55" s="5">
        <f>ROUND(SUMIF([1]开票!$A$2:$A$1750,[1]申请!AQ55,[1]开票!$C$2:$C$1750),2)</f>
        <v>2857.14</v>
      </c>
      <c r="G55" s="5">
        <f>ROUND(SUMIF([1]开票!$A$2:$A$1750,[1]申请!AQ55,[1]开票!$D$2:$D$1750),2)</f>
        <v>140180.43</v>
      </c>
      <c r="H55" s="5">
        <f>ROUND(SUMIF([1]开票!$A$2:$A$1750,[1]申请!AQ55,[1]开票!$E$2:$E$1750),2)</f>
        <v>142.86</v>
      </c>
      <c r="I55" s="5">
        <f t="shared" si="15"/>
        <v>143180.43</v>
      </c>
      <c r="J55" s="12">
        <v>3000</v>
      </c>
      <c r="K55" s="12"/>
      <c r="L55" s="12"/>
      <c r="M55" s="12"/>
      <c r="N55" s="12"/>
      <c r="O55" s="12"/>
      <c r="P55" s="12"/>
      <c r="Q55" s="12"/>
      <c r="R55" s="12"/>
      <c r="S55" s="12">
        <v>80011.96</v>
      </c>
      <c r="T55" s="12">
        <v>830.44</v>
      </c>
      <c r="U55" s="12">
        <v>48794.53</v>
      </c>
      <c r="V55" s="12">
        <v>9888</v>
      </c>
      <c r="W55" s="12"/>
      <c r="X55" s="12">
        <v>655.5</v>
      </c>
      <c r="Y55" s="12"/>
      <c r="Z55" s="12"/>
      <c r="AA55" s="12"/>
      <c r="AB55" s="12"/>
      <c r="AC55" s="12"/>
      <c r="AD55" s="12">
        <f t="shared" si="0"/>
        <v>143180.43</v>
      </c>
      <c r="AE55" s="13">
        <f t="shared" si="1"/>
        <v>0</v>
      </c>
      <c r="AF55" s="14">
        <f t="shared" si="2"/>
        <v>0</v>
      </c>
      <c r="AG55" s="13">
        <f t="shared" si="3"/>
        <v>142.86</v>
      </c>
      <c r="AH55" s="13">
        <f t="shared" si="4"/>
        <v>10</v>
      </c>
      <c r="AI55" s="13">
        <f t="shared" si="5"/>
        <v>4.29</v>
      </c>
      <c r="AJ55" s="13">
        <f t="shared" si="6"/>
        <v>2.86</v>
      </c>
      <c r="AK55" s="13">
        <f t="shared" si="7"/>
        <v>0</v>
      </c>
      <c r="AL55" s="13">
        <f t="shared" si="8"/>
        <v>0</v>
      </c>
      <c r="AM55" s="13">
        <f t="shared" si="9"/>
        <v>142.86</v>
      </c>
      <c r="AN55" s="13">
        <f t="shared" si="10"/>
        <v>10</v>
      </c>
      <c r="AO55" s="13">
        <f t="shared" si="11"/>
        <v>4.29</v>
      </c>
      <c r="AP55" s="13">
        <f t="shared" si="12"/>
        <v>2.86</v>
      </c>
      <c r="AQ55" s="13" t="str">
        <f t="shared" si="13"/>
        <v>TJ202512041519000546618</v>
      </c>
      <c r="AR55" s="13">
        <f t="shared" si="14"/>
        <v>0.05</v>
      </c>
    </row>
    <row r="56" spans="1:44">
      <c r="A56" s="12" t="s">
        <v>140</v>
      </c>
      <c r="B56" s="12" t="s">
        <v>131</v>
      </c>
      <c r="C56" s="12" t="s">
        <v>132</v>
      </c>
      <c r="D56" s="12" t="s">
        <v>60</v>
      </c>
      <c r="E56" s="12" t="s">
        <v>51</v>
      </c>
      <c r="F56" s="5">
        <f>ROUND(SUMIF([1]开票!$A$2:$A$1750,[1]申请!AQ56,[1]开票!$C$2:$C$1750),2)</f>
        <v>449645</v>
      </c>
      <c r="G56" s="5">
        <f>ROUND(SUMIF([1]开票!$A$2:$A$1750,[1]申请!AQ56,[1]开票!$D$2:$D$1750),2)</f>
        <v>0</v>
      </c>
      <c r="H56" s="5">
        <f>ROUND(SUMIF([1]开票!$A$2:$A$1750,[1]申请!AQ56,[1]开票!$E$2:$E$1750),2)</f>
        <v>26978.7</v>
      </c>
      <c r="I56" s="5">
        <f t="shared" si="15"/>
        <v>476623.7</v>
      </c>
      <c r="J56" s="12"/>
      <c r="K56" s="12"/>
      <c r="L56" s="12"/>
      <c r="M56" s="12"/>
      <c r="N56" s="12"/>
      <c r="O56" s="12"/>
      <c r="P56" s="12"/>
      <c r="Q56" s="12">
        <v>23878.7</v>
      </c>
      <c r="R56" s="12"/>
      <c r="S56" s="12"/>
      <c r="T56" s="12"/>
      <c r="U56" s="12"/>
      <c r="V56" s="12"/>
      <c r="W56" s="12"/>
      <c r="X56" s="12"/>
      <c r="Y56" s="12"/>
      <c r="Z56" s="12">
        <v>452745</v>
      </c>
      <c r="AA56" s="12"/>
      <c r="AB56" s="12"/>
      <c r="AC56" s="12"/>
      <c r="AD56" s="12">
        <f t="shared" si="0"/>
        <v>476623.7</v>
      </c>
      <c r="AE56" s="13">
        <f t="shared" si="1"/>
        <v>0</v>
      </c>
      <c r="AF56" s="14">
        <f t="shared" si="2"/>
        <v>0</v>
      </c>
      <c r="AG56" s="13">
        <f t="shared" si="3"/>
        <v>26978.7</v>
      </c>
      <c r="AH56" s="13">
        <f t="shared" si="4"/>
        <v>1888.51</v>
      </c>
      <c r="AI56" s="13">
        <f t="shared" si="5"/>
        <v>809.36</v>
      </c>
      <c r="AJ56" s="13">
        <f t="shared" si="6"/>
        <v>539.57</v>
      </c>
      <c r="AK56" s="13">
        <f t="shared" si="7"/>
        <v>0</v>
      </c>
      <c r="AL56" s="13">
        <f t="shared" si="8"/>
        <v>0</v>
      </c>
      <c r="AM56" s="13">
        <f t="shared" si="9"/>
        <v>26978.7</v>
      </c>
      <c r="AN56" s="13">
        <f t="shared" si="10"/>
        <v>1888.51</v>
      </c>
      <c r="AO56" s="13">
        <f t="shared" si="11"/>
        <v>809.36</v>
      </c>
      <c r="AP56" s="13">
        <f t="shared" si="12"/>
        <v>539.57</v>
      </c>
      <c r="AQ56" s="13" t="str">
        <f t="shared" si="13"/>
        <v>TJ202512041540000452960</v>
      </c>
      <c r="AR56" s="13">
        <f t="shared" si="14"/>
        <v>0.06</v>
      </c>
    </row>
    <row r="57" spans="1:44">
      <c r="A57" s="12" t="s">
        <v>141</v>
      </c>
      <c r="B57" s="12" t="s">
        <v>142</v>
      </c>
      <c r="C57" s="12" t="s">
        <v>54</v>
      </c>
      <c r="D57" s="12" t="s">
        <v>55</v>
      </c>
      <c r="E57" s="12" t="s">
        <v>48</v>
      </c>
      <c r="F57" s="5">
        <f>ROUND(SUMIF([1]开票!$A$2:$A$1750,[1]申请!AQ57,[1]开票!$C$2:$C$1750),2)</f>
        <v>2357.14</v>
      </c>
      <c r="G57" s="5">
        <f>ROUND(SUMIF([1]开票!$A$2:$A$1750,[1]申请!AQ57,[1]开票!$D$2:$D$1750),2)</f>
        <v>7425</v>
      </c>
      <c r="H57" s="5">
        <f>ROUND(SUMIF([1]开票!$A$2:$A$1750,[1]申请!AQ57,[1]开票!$E$2:$E$1750),2)</f>
        <v>117.86</v>
      </c>
      <c r="I57" s="5">
        <f t="shared" si="15"/>
        <v>9900</v>
      </c>
      <c r="J57" s="12"/>
      <c r="K57" s="12"/>
      <c r="L57" s="12">
        <v>9900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>
        <f t="shared" si="0"/>
        <v>9900</v>
      </c>
      <c r="AE57" s="13">
        <f t="shared" si="1"/>
        <v>0</v>
      </c>
      <c r="AF57" s="14">
        <f t="shared" si="2"/>
        <v>0</v>
      </c>
      <c r="AG57" s="13">
        <f t="shared" si="3"/>
        <v>117.86</v>
      </c>
      <c r="AH57" s="13">
        <f t="shared" si="4"/>
        <v>8.25</v>
      </c>
      <c r="AI57" s="13">
        <f t="shared" si="5"/>
        <v>3.54</v>
      </c>
      <c r="AJ57" s="13">
        <f t="shared" si="6"/>
        <v>2.36</v>
      </c>
      <c r="AK57" s="13">
        <f t="shared" si="7"/>
        <v>0</v>
      </c>
      <c r="AL57" s="13">
        <f t="shared" si="8"/>
        <v>0</v>
      </c>
      <c r="AM57" s="13">
        <f t="shared" si="9"/>
        <v>117.86</v>
      </c>
      <c r="AN57" s="13">
        <f t="shared" si="10"/>
        <v>8.25</v>
      </c>
      <c r="AO57" s="13">
        <f t="shared" si="11"/>
        <v>3.54</v>
      </c>
      <c r="AP57" s="13">
        <f t="shared" si="12"/>
        <v>2.36</v>
      </c>
      <c r="AQ57" s="13" t="str">
        <f t="shared" si="13"/>
        <v>TJ202512041556000507999</v>
      </c>
      <c r="AR57" s="13">
        <f t="shared" si="14"/>
        <v>0.05</v>
      </c>
    </row>
    <row r="58" spans="1:44">
      <c r="A58" s="12" t="s">
        <v>143</v>
      </c>
      <c r="B58" s="12" t="s">
        <v>144</v>
      </c>
      <c r="C58" s="12" t="s">
        <v>54</v>
      </c>
      <c r="D58" s="12" t="s">
        <v>55</v>
      </c>
      <c r="E58" s="12" t="s">
        <v>51</v>
      </c>
      <c r="F58" s="5">
        <f>ROUND(SUMIF([1]开票!$A$2:$A$1750,[1]申请!AQ58,[1]开票!$C$2:$C$1750),2)</f>
        <v>16770.13</v>
      </c>
      <c r="G58" s="5">
        <f>ROUND(SUMIF([1]开票!$A$2:$A$1750,[1]申请!AQ58,[1]开票!$D$2:$D$1750),2)</f>
        <v>0</v>
      </c>
      <c r="H58" s="5">
        <f>ROUND(SUMIF([1]开票!$A$2:$A$1750,[1]申请!AQ58,[1]开票!$E$2:$E$1750),2)</f>
        <v>1006.21</v>
      </c>
      <c r="I58" s="5">
        <f t="shared" si="15"/>
        <v>17776.34</v>
      </c>
      <c r="J58" s="12"/>
      <c r="K58" s="12"/>
      <c r="L58" s="12">
        <v>17776.34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>
        <f t="shared" si="0"/>
        <v>17776.34</v>
      </c>
      <c r="AE58" s="13">
        <f t="shared" si="1"/>
        <v>0</v>
      </c>
      <c r="AF58" s="14">
        <f t="shared" si="2"/>
        <v>0</v>
      </c>
      <c r="AG58" s="13">
        <f t="shared" si="3"/>
        <v>1006.21</v>
      </c>
      <c r="AH58" s="13">
        <f t="shared" si="4"/>
        <v>70.43</v>
      </c>
      <c r="AI58" s="13">
        <f t="shared" si="5"/>
        <v>30.19</v>
      </c>
      <c r="AJ58" s="13">
        <f t="shared" si="6"/>
        <v>20.12</v>
      </c>
      <c r="AK58" s="13">
        <f t="shared" si="7"/>
        <v>0</v>
      </c>
      <c r="AL58" s="13">
        <f t="shared" si="8"/>
        <v>0</v>
      </c>
      <c r="AM58" s="13">
        <f t="shared" si="9"/>
        <v>1006.21</v>
      </c>
      <c r="AN58" s="13">
        <f t="shared" si="10"/>
        <v>70.43</v>
      </c>
      <c r="AO58" s="13">
        <f t="shared" si="11"/>
        <v>30.19</v>
      </c>
      <c r="AP58" s="13">
        <f t="shared" si="12"/>
        <v>20.12</v>
      </c>
      <c r="AQ58" s="13" t="str">
        <f t="shared" si="13"/>
        <v>TJ202512041626000319451</v>
      </c>
      <c r="AR58" s="13">
        <f t="shared" si="14"/>
        <v>0.06</v>
      </c>
    </row>
    <row r="59" spans="1:44">
      <c r="A59" s="18" t="s">
        <v>145</v>
      </c>
      <c r="B59" s="12" t="s">
        <v>146</v>
      </c>
      <c r="C59" s="12" t="s">
        <v>54</v>
      </c>
      <c r="D59" s="12" t="s">
        <v>47</v>
      </c>
      <c r="E59" s="12" t="s">
        <v>51</v>
      </c>
      <c r="F59" s="5">
        <f>ROUND(SUMIF([1]开票!$A$2:$A$1750,[1]申请!AQ59,[1]开票!$C$2:$C$1750),2)</f>
        <v>23501.25</v>
      </c>
      <c r="G59" s="5">
        <f>ROUND(SUMIF([1]开票!$A$2:$A$1750,[1]申请!AQ59,[1]开票!$D$2:$D$1750),2)</f>
        <v>0</v>
      </c>
      <c r="H59" s="5">
        <f>ROUND(SUMIF([1]开票!$A$2:$A$1750,[1]申请!AQ59,[1]开票!$E$2:$E$1750),2)</f>
        <v>1410.08</v>
      </c>
      <c r="I59" s="5">
        <f t="shared" si="15"/>
        <v>24911.33</v>
      </c>
      <c r="J59" s="15">
        <v>35.4</v>
      </c>
      <c r="K59" s="12"/>
      <c r="L59" s="12"/>
      <c r="M59" s="12"/>
      <c r="N59" s="15"/>
      <c r="O59" s="12"/>
      <c r="P59" s="12"/>
      <c r="Q59" s="12"/>
      <c r="R59" s="12"/>
      <c r="S59" s="12">
        <v>18829.84</v>
      </c>
      <c r="T59" s="12">
        <v>273.1</v>
      </c>
      <c r="U59" s="12">
        <v>3560</v>
      </c>
      <c r="V59" s="12">
        <v>500</v>
      </c>
      <c r="W59" s="15"/>
      <c r="X59" s="15">
        <v>144.36</v>
      </c>
      <c r="Y59" s="12">
        <v>1568.63</v>
      </c>
      <c r="Z59" s="12"/>
      <c r="AA59" s="12"/>
      <c r="AB59" s="12"/>
      <c r="AC59" s="12"/>
      <c r="AD59" s="12">
        <f t="shared" si="0"/>
        <v>24911.33</v>
      </c>
      <c r="AE59" s="13">
        <f t="shared" si="1"/>
        <v>0</v>
      </c>
      <c r="AF59" s="14">
        <f t="shared" si="2"/>
        <v>0</v>
      </c>
      <c r="AG59" s="13">
        <f t="shared" si="3"/>
        <v>1410.08</v>
      </c>
      <c r="AH59" s="13">
        <f t="shared" si="4"/>
        <v>98.71</v>
      </c>
      <c r="AI59" s="13">
        <f t="shared" si="5"/>
        <v>42.3</v>
      </c>
      <c r="AJ59" s="13">
        <f t="shared" si="6"/>
        <v>28.2</v>
      </c>
      <c r="AK59" s="13">
        <f t="shared" si="7"/>
        <v>1400.5625</v>
      </c>
      <c r="AL59" s="13">
        <f t="shared" si="8"/>
        <v>168.07</v>
      </c>
      <c r="AM59" s="13">
        <f t="shared" si="9"/>
        <v>9.52</v>
      </c>
      <c r="AN59" s="13">
        <f t="shared" si="10"/>
        <v>0.67</v>
      </c>
      <c r="AO59" s="13">
        <f t="shared" si="11"/>
        <v>0.29</v>
      </c>
      <c r="AP59" s="13">
        <f t="shared" si="12"/>
        <v>0.18</v>
      </c>
      <c r="AQ59" s="13" t="str">
        <f t="shared" si="13"/>
        <v>TJ202512041638000199182</v>
      </c>
      <c r="AR59" s="13">
        <f t="shared" si="14"/>
        <v>0.06</v>
      </c>
    </row>
    <row r="60" spans="1:44">
      <c r="A60" s="12" t="s">
        <v>147</v>
      </c>
      <c r="B60" s="12" t="s">
        <v>148</v>
      </c>
      <c r="C60" s="12" t="s">
        <v>54</v>
      </c>
      <c r="D60" s="12" t="s">
        <v>55</v>
      </c>
      <c r="E60" s="12" t="s">
        <v>51</v>
      </c>
      <c r="F60" s="5">
        <f>ROUND(SUMIF([1]开票!$A$2:$A$1750,[1]申请!AQ60,[1]开票!$C$2:$C$1750),2)</f>
        <v>59187.69</v>
      </c>
      <c r="G60" s="5">
        <f>ROUND(SUMIF([1]开票!$A$2:$A$1750,[1]申请!AQ60,[1]开票!$D$2:$D$1750),2)</f>
        <v>0</v>
      </c>
      <c r="H60" s="5">
        <f>ROUND(SUMIF([1]开票!$A$2:$A$1750,[1]申请!AQ60,[1]开票!$E$2:$E$1750),2)</f>
        <v>3551.26</v>
      </c>
      <c r="I60" s="5">
        <f t="shared" si="15"/>
        <v>62738.95</v>
      </c>
      <c r="J60" s="12"/>
      <c r="K60" s="12"/>
      <c r="L60" s="12">
        <v>62738.95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>
        <f t="shared" si="0"/>
        <v>62738.95</v>
      </c>
      <c r="AE60" s="13">
        <f t="shared" si="1"/>
        <v>0</v>
      </c>
      <c r="AF60" s="14">
        <f t="shared" si="2"/>
        <v>0</v>
      </c>
      <c r="AG60" s="13">
        <f t="shared" si="3"/>
        <v>3551.26</v>
      </c>
      <c r="AH60" s="13">
        <f t="shared" si="4"/>
        <v>248.59</v>
      </c>
      <c r="AI60" s="13">
        <f t="shared" si="5"/>
        <v>106.54</v>
      </c>
      <c r="AJ60" s="13">
        <f t="shared" si="6"/>
        <v>71.03</v>
      </c>
      <c r="AK60" s="13">
        <f t="shared" si="7"/>
        <v>0</v>
      </c>
      <c r="AL60" s="13">
        <f t="shared" si="8"/>
        <v>0</v>
      </c>
      <c r="AM60" s="13">
        <f t="shared" si="9"/>
        <v>3551.26</v>
      </c>
      <c r="AN60" s="13">
        <f t="shared" si="10"/>
        <v>248.59</v>
      </c>
      <c r="AO60" s="13">
        <f t="shared" si="11"/>
        <v>106.54</v>
      </c>
      <c r="AP60" s="13">
        <f t="shared" si="12"/>
        <v>71.03</v>
      </c>
      <c r="AQ60" s="13" t="str">
        <f t="shared" si="13"/>
        <v>TJ202512041649000480465</v>
      </c>
      <c r="AR60" s="13">
        <f t="shared" si="14"/>
        <v>0.06</v>
      </c>
    </row>
    <row r="61" spans="1:44">
      <c r="A61" s="12" t="s">
        <v>149</v>
      </c>
      <c r="B61" s="12" t="s">
        <v>123</v>
      </c>
      <c r="C61" s="12" t="s">
        <v>46</v>
      </c>
      <c r="D61" s="12" t="s">
        <v>47</v>
      </c>
      <c r="E61" s="12" t="s">
        <v>48</v>
      </c>
      <c r="F61" s="5">
        <f>ROUND(SUMIF([1]开票!$A$2:$A$1750,[1]申请!AQ61,[1]开票!$C$2:$C$1750),2)</f>
        <v>161.9</v>
      </c>
      <c r="G61" s="5">
        <f>ROUND(SUMIF([1]开票!$A$2:$A$1750,[1]申请!AQ61,[1]开票!$D$2:$D$1750),2)</f>
        <v>83312.25</v>
      </c>
      <c r="H61" s="5">
        <f>ROUND(SUMIF([1]开票!$A$2:$A$1750,[1]申请!AQ61,[1]开票!$E$2:$E$1750),2)</f>
        <v>8.1</v>
      </c>
      <c r="I61" s="5">
        <f t="shared" si="15"/>
        <v>83482.25</v>
      </c>
      <c r="J61" s="12">
        <v>170</v>
      </c>
      <c r="K61" s="12"/>
      <c r="L61" s="12"/>
      <c r="M61" s="12"/>
      <c r="N61" s="12"/>
      <c r="O61" s="12"/>
      <c r="P61" s="12"/>
      <c r="Q61" s="12"/>
      <c r="R61" s="12"/>
      <c r="S61" s="12">
        <v>64480.42</v>
      </c>
      <c r="T61" s="12">
        <v>531.1</v>
      </c>
      <c r="U61" s="12">
        <v>13980.73</v>
      </c>
      <c r="V61" s="12">
        <v>4320</v>
      </c>
      <c r="W61" s="12">
        <v>0</v>
      </c>
      <c r="X61" s="12"/>
      <c r="Y61" s="12"/>
      <c r="Z61" s="12"/>
      <c r="AA61" s="12"/>
      <c r="AB61" s="12"/>
      <c r="AC61" s="12"/>
      <c r="AD61" s="12">
        <f t="shared" si="0"/>
        <v>83482.25</v>
      </c>
      <c r="AE61" s="13">
        <f t="shared" si="1"/>
        <v>0</v>
      </c>
      <c r="AF61" s="14">
        <f t="shared" si="2"/>
        <v>0</v>
      </c>
      <c r="AG61" s="13">
        <f t="shared" si="3"/>
        <v>8.1</v>
      </c>
      <c r="AH61" s="13">
        <f t="shared" si="4"/>
        <v>0.57</v>
      </c>
      <c r="AI61" s="13">
        <f t="shared" si="5"/>
        <v>0.24</v>
      </c>
      <c r="AJ61" s="13">
        <f t="shared" si="6"/>
        <v>0.16</v>
      </c>
      <c r="AK61" s="13">
        <f t="shared" si="7"/>
        <v>0</v>
      </c>
      <c r="AL61" s="13">
        <f t="shared" si="8"/>
        <v>0</v>
      </c>
      <c r="AM61" s="13">
        <f t="shared" si="9"/>
        <v>8.1</v>
      </c>
      <c r="AN61" s="13">
        <f t="shared" si="10"/>
        <v>0.57</v>
      </c>
      <c r="AO61" s="13">
        <f t="shared" si="11"/>
        <v>0.24</v>
      </c>
      <c r="AP61" s="13">
        <f t="shared" si="12"/>
        <v>0.16</v>
      </c>
      <c r="AQ61" s="13" t="str">
        <f t="shared" si="13"/>
        <v>TJ202512041655000002620</v>
      </c>
      <c r="AR61" s="13">
        <f t="shared" si="14"/>
        <v>0.05</v>
      </c>
    </row>
    <row r="62" spans="1:44">
      <c r="A62" s="12" t="s">
        <v>150</v>
      </c>
      <c r="B62" s="12" t="s">
        <v>151</v>
      </c>
      <c r="C62" s="12" t="s">
        <v>46</v>
      </c>
      <c r="D62" s="12" t="s">
        <v>47</v>
      </c>
      <c r="E62" s="12" t="s">
        <v>48</v>
      </c>
      <c r="F62" s="5">
        <f>ROUND(SUMIF([1]开票!$A$2:$A$1750,[1]申请!AQ62,[1]开票!$C$2:$C$1750),2)</f>
        <v>6621.1</v>
      </c>
      <c r="G62" s="5">
        <f>ROUND(SUMIF([1]开票!$A$2:$A$1750,[1]申请!AQ62,[1]开票!$D$2:$D$1750),2)</f>
        <v>82763.76</v>
      </c>
      <c r="H62" s="5">
        <f>ROUND(SUMIF([1]开票!$A$2:$A$1750,[1]申请!AQ62,[1]开票!$E$2:$E$1750),2)</f>
        <v>331.05</v>
      </c>
      <c r="I62" s="5">
        <f t="shared" si="15"/>
        <v>89715.91</v>
      </c>
      <c r="J62" s="12">
        <v>6621.11</v>
      </c>
      <c r="K62" s="12"/>
      <c r="L62" s="12"/>
      <c r="M62" s="12"/>
      <c r="N62" s="12"/>
      <c r="O62" s="12"/>
      <c r="P62" s="12"/>
      <c r="Q62" s="12"/>
      <c r="R62" s="12"/>
      <c r="S62" s="12">
        <v>82067.77</v>
      </c>
      <c r="T62" s="12">
        <v>695.99</v>
      </c>
      <c r="U62" s="12"/>
      <c r="V62" s="12"/>
      <c r="W62" s="12"/>
      <c r="X62" s="12"/>
      <c r="Y62" s="12">
        <v>331.04</v>
      </c>
      <c r="Z62" s="12"/>
      <c r="AA62" s="12"/>
      <c r="AB62" s="12"/>
      <c r="AC62" s="12"/>
      <c r="AD62" s="12">
        <f t="shared" si="0"/>
        <v>89715.91</v>
      </c>
      <c r="AE62" s="21">
        <f t="shared" si="1"/>
        <v>0</v>
      </c>
      <c r="AF62" s="22">
        <f t="shared" si="2"/>
        <v>0</v>
      </c>
      <c r="AG62" s="21">
        <f t="shared" si="3"/>
        <v>331.05</v>
      </c>
      <c r="AH62" s="21">
        <f t="shared" si="4"/>
        <v>23.17</v>
      </c>
      <c r="AI62" s="21">
        <f t="shared" si="5"/>
        <v>9.93</v>
      </c>
      <c r="AJ62" s="21">
        <f t="shared" si="6"/>
        <v>6.62</v>
      </c>
      <c r="AK62" s="21">
        <f t="shared" si="7"/>
        <v>295.571428571429</v>
      </c>
      <c r="AL62" s="21">
        <f t="shared" si="8"/>
        <v>35.47</v>
      </c>
      <c r="AM62" s="21">
        <f t="shared" si="9"/>
        <v>35.48</v>
      </c>
      <c r="AN62" s="21">
        <f t="shared" si="10"/>
        <v>2.48</v>
      </c>
      <c r="AO62" s="21">
        <f t="shared" si="11"/>
        <v>1.06</v>
      </c>
      <c r="AP62" s="21">
        <f t="shared" si="12"/>
        <v>0.71</v>
      </c>
      <c r="AQ62" s="21" t="str">
        <f t="shared" si="13"/>
        <v>TJ202512041718000052225</v>
      </c>
      <c r="AR62" s="21">
        <f t="shared" si="14"/>
        <v>0.05</v>
      </c>
    </row>
    <row r="63" spans="1:44">
      <c r="A63" s="12" t="s">
        <v>152</v>
      </c>
      <c r="B63" s="12" t="s">
        <v>153</v>
      </c>
      <c r="C63" s="12" t="s">
        <v>120</v>
      </c>
      <c r="D63" s="12" t="s">
        <v>121</v>
      </c>
      <c r="E63" s="12" t="s">
        <v>48</v>
      </c>
      <c r="F63" s="5">
        <f>ROUND(SUMIF([1]开票!$A$2:$A$1750,[1]申请!AQ63,[1]开票!$C$2:$C$1750),2)</f>
        <v>56601.9</v>
      </c>
      <c r="G63" s="5">
        <f>ROUND(SUMIF([1]开票!$A$2:$A$1750,[1]申请!AQ63,[1]开票!$D$2:$D$1750),2)</f>
        <v>542853.5</v>
      </c>
      <c r="H63" s="5">
        <f>ROUND(SUMIF([1]开票!$A$2:$A$1750,[1]申请!AQ63,[1]开票!$E$2:$E$1750),2)</f>
        <v>2830.1</v>
      </c>
      <c r="I63" s="5">
        <f t="shared" si="15"/>
        <v>602285.5</v>
      </c>
      <c r="J63" s="12"/>
      <c r="K63" s="12">
        <v>59432</v>
      </c>
      <c r="L63" s="12"/>
      <c r="M63" s="12"/>
      <c r="N63" s="12"/>
      <c r="O63" s="12"/>
      <c r="P63" s="12"/>
      <c r="Q63" s="12"/>
      <c r="R63" s="12"/>
      <c r="S63" s="12"/>
      <c r="T63" s="12"/>
      <c r="U63" s="12">
        <v>316219.5</v>
      </c>
      <c r="V63" s="12">
        <v>226634</v>
      </c>
      <c r="W63" s="12"/>
      <c r="X63" s="12"/>
      <c r="Y63" s="12"/>
      <c r="Z63" s="12"/>
      <c r="AA63" s="12"/>
      <c r="AB63" s="12"/>
      <c r="AC63" s="12"/>
      <c r="AD63" s="12">
        <f t="shared" si="0"/>
        <v>602285.5</v>
      </c>
      <c r="AE63" s="13">
        <f t="shared" si="1"/>
        <v>0</v>
      </c>
      <c r="AF63" s="14">
        <f t="shared" si="2"/>
        <v>0</v>
      </c>
      <c r="AG63" s="13">
        <f t="shared" si="3"/>
        <v>2830.1</v>
      </c>
      <c r="AH63" s="13">
        <f t="shared" si="4"/>
        <v>198.11</v>
      </c>
      <c r="AI63" s="13">
        <f t="shared" si="5"/>
        <v>84.9</v>
      </c>
      <c r="AJ63" s="13">
        <f t="shared" si="6"/>
        <v>56.6</v>
      </c>
      <c r="AK63" s="13">
        <f t="shared" si="7"/>
        <v>0</v>
      </c>
      <c r="AL63" s="13">
        <f t="shared" si="8"/>
        <v>0</v>
      </c>
      <c r="AM63" s="13">
        <f t="shared" si="9"/>
        <v>2830.1</v>
      </c>
      <c r="AN63" s="13">
        <f t="shared" si="10"/>
        <v>198.11</v>
      </c>
      <c r="AO63" s="13">
        <f t="shared" si="11"/>
        <v>84.9</v>
      </c>
      <c r="AP63" s="13">
        <f t="shared" si="12"/>
        <v>56.6</v>
      </c>
      <c r="AQ63" s="13" t="str">
        <f t="shared" si="13"/>
        <v>TJ202512041924000389047</v>
      </c>
      <c r="AR63" s="13">
        <f t="shared" si="14"/>
        <v>0.05</v>
      </c>
    </row>
    <row r="64" spans="1:44">
      <c r="A64" s="12" t="s">
        <v>154</v>
      </c>
      <c r="B64" s="12" t="s">
        <v>123</v>
      </c>
      <c r="C64" s="12" t="s">
        <v>46</v>
      </c>
      <c r="D64" s="12" t="s">
        <v>47</v>
      </c>
      <c r="E64" s="12" t="s">
        <v>48</v>
      </c>
      <c r="F64" s="5">
        <f>ROUND(SUMIF([1]开票!$A$2:$A$1750,[1]申请!AQ64,[1]开票!$C$2:$C$1750),2)</f>
        <v>291.43</v>
      </c>
      <c r="G64" s="5">
        <f>ROUND(SUMIF([1]开票!$A$2:$A$1750,[1]申请!AQ64,[1]开票!$D$2:$D$1750),2)</f>
        <v>213501.2</v>
      </c>
      <c r="H64" s="5">
        <f>ROUND(SUMIF([1]开票!$A$2:$A$1750,[1]申请!AQ64,[1]开票!$E$2:$E$1750),2)</f>
        <v>14.57</v>
      </c>
      <c r="I64" s="5">
        <f t="shared" si="15"/>
        <v>213807.2</v>
      </c>
      <c r="J64" s="12">
        <v>306</v>
      </c>
      <c r="K64" s="12"/>
      <c r="L64" s="12"/>
      <c r="M64" s="12"/>
      <c r="N64" s="12"/>
      <c r="O64" s="12"/>
      <c r="P64" s="12"/>
      <c r="Q64" s="12"/>
      <c r="R64" s="12"/>
      <c r="S64" s="12">
        <v>168031.37</v>
      </c>
      <c r="T64" s="12">
        <v>6182.54</v>
      </c>
      <c r="U64" s="12">
        <v>27047.29</v>
      </c>
      <c r="V64" s="12">
        <v>12240</v>
      </c>
      <c r="W64" s="12">
        <v>0</v>
      </c>
      <c r="X64" s="12"/>
      <c r="Y64" s="12"/>
      <c r="Z64" s="12"/>
      <c r="AA64" s="12"/>
      <c r="AB64" s="12"/>
      <c r="AC64" s="12"/>
      <c r="AD64" s="12">
        <f t="shared" si="0"/>
        <v>213807.2</v>
      </c>
      <c r="AE64" s="13">
        <f t="shared" si="1"/>
        <v>0</v>
      </c>
      <c r="AF64" s="22">
        <f t="shared" si="2"/>
        <v>0</v>
      </c>
      <c r="AG64" s="21">
        <f t="shared" si="3"/>
        <v>14.57</v>
      </c>
      <c r="AH64" s="21">
        <f t="shared" si="4"/>
        <v>1.02</v>
      </c>
      <c r="AI64" s="21">
        <f t="shared" si="5"/>
        <v>0.44</v>
      </c>
      <c r="AJ64" s="21">
        <f t="shared" si="6"/>
        <v>0.29</v>
      </c>
      <c r="AK64" s="21">
        <f t="shared" si="7"/>
        <v>0</v>
      </c>
      <c r="AL64" s="21">
        <f t="shared" si="8"/>
        <v>0</v>
      </c>
      <c r="AM64" s="21">
        <f t="shared" si="9"/>
        <v>14.57</v>
      </c>
      <c r="AN64" s="21">
        <f t="shared" si="10"/>
        <v>1.02</v>
      </c>
      <c r="AO64" s="21">
        <f t="shared" si="11"/>
        <v>0.44</v>
      </c>
      <c r="AP64" s="21">
        <f t="shared" si="12"/>
        <v>0.29</v>
      </c>
      <c r="AQ64" s="21" t="str">
        <f t="shared" si="13"/>
        <v>TJ202512051004000014210</v>
      </c>
      <c r="AR64" s="21">
        <f t="shared" si="14"/>
        <v>0.05</v>
      </c>
    </row>
    <row r="65" spans="1:44">
      <c r="A65" s="12" t="s">
        <v>155</v>
      </c>
      <c r="B65" s="12" t="s">
        <v>57</v>
      </c>
      <c r="C65" s="12" t="s">
        <v>54</v>
      </c>
      <c r="D65" s="12" t="s">
        <v>55</v>
      </c>
      <c r="E65" s="12" t="s">
        <v>51</v>
      </c>
      <c r="F65" s="5">
        <f>ROUND(SUMIF([1]开票!$A$2:$A$1750,[1]申请!AQ65,[1]开票!$C$2:$C$1750),2)</f>
        <v>109901.91</v>
      </c>
      <c r="G65" s="5">
        <f>ROUND(SUMIF([1]开票!$A$2:$A$1750,[1]申请!AQ65,[1]开票!$D$2:$D$1750),2)</f>
        <v>0</v>
      </c>
      <c r="H65" s="5">
        <f>ROUND(SUMIF([1]开票!$A$2:$A$1750,[1]申请!AQ65,[1]开票!$E$2:$E$1750),2)</f>
        <v>6594.11</v>
      </c>
      <c r="I65" s="5">
        <f t="shared" si="15"/>
        <v>116496.02</v>
      </c>
      <c r="J65" s="12">
        <v>116496.02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>
        <f t="shared" si="0"/>
        <v>116496.02</v>
      </c>
      <c r="AE65" s="13">
        <f t="shared" si="1"/>
        <v>0</v>
      </c>
      <c r="AF65" s="22">
        <f t="shared" si="2"/>
        <v>0</v>
      </c>
      <c r="AG65" s="21">
        <f t="shared" si="3"/>
        <v>6594.11</v>
      </c>
      <c r="AH65" s="21">
        <f t="shared" si="4"/>
        <v>461.59</v>
      </c>
      <c r="AI65" s="21">
        <f t="shared" si="5"/>
        <v>197.82</v>
      </c>
      <c r="AJ65" s="21">
        <f t="shared" si="6"/>
        <v>131.88</v>
      </c>
      <c r="AK65" s="21">
        <f t="shared" si="7"/>
        <v>0</v>
      </c>
      <c r="AL65" s="21">
        <f t="shared" si="8"/>
        <v>0</v>
      </c>
      <c r="AM65" s="21">
        <f t="shared" si="9"/>
        <v>6594.11</v>
      </c>
      <c r="AN65" s="21">
        <f t="shared" si="10"/>
        <v>461.59</v>
      </c>
      <c r="AO65" s="21">
        <f t="shared" si="11"/>
        <v>197.82</v>
      </c>
      <c r="AP65" s="21">
        <f t="shared" si="12"/>
        <v>131.88</v>
      </c>
      <c r="AQ65" s="21" t="str">
        <f t="shared" si="13"/>
        <v>TJ202512051207000131422</v>
      </c>
      <c r="AR65" s="21">
        <f t="shared" si="14"/>
        <v>0.06</v>
      </c>
    </row>
    <row r="66" spans="1:44">
      <c r="A66" s="12" t="s">
        <v>156</v>
      </c>
      <c r="B66" s="12" t="s">
        <v>157</v>
      </c>
      <c r="C66" s="12" t="s">
        <v>46</v>
      </c>
      <c r="D66" s="12" t="s">
        <v>47</v>
      </c>
      <c r="E66" s="12" t="s">
        <v>48</v>
      </c>
      <c r="F66" s="5">
        <f>ROUND(SUMIF([1]开票!$A$2:$A$1750,[1]申请!AQ66,[1]开票!$C$2:$C$1750),2)</f>
        <v>47.62</v>
      </c>
      <c r="G66" s="5">
        <f>ROUND(SUMIF([1]开票!$A$2:$A$1750,[1]申请!AQ66,[1]开票!$D$2:$D$1750),2)</f>
        <v>10070.39</v>
      </c>
      <c r="H66" s="5">
        <f>ROUND(SUMIF([1]开票!$A$2:$A$1750,[1]申请!AQ66,[1]开票!$E$2:$E$1750),2)</f>
        <v>2.38</v>
      </c>
      <c r="I66" s="5">
        <f t="shared" ref="I66:I129" si="16">SUM(F66:H66)</f>
        <v>10120.39</v>
      </c>
      <c r="J66" s="12">
        <v>50</v>
      </c>
      <c r="K66" s="12"/>
      <c r="L66" s="12"/>
      <c r="M66" s="12"/>
      <c r="N66" s="12"/>
      <c r="O66" s="12"/>
      <c r="P66" s="12"/>
      <c r="Q66" s="12"/>
      <c r="R66" s="12"/>
      <c r="S66" s="12">
        <v>7863.52</v>
      </c>
      <c r="T66" s="12">
        <v>88.56</v>
      </c>
      <c r="U66" s="12">
        <v>1822.95</v>
      </c>
      <c r="V66" s="12">
        <v>250</v>
      </c>
      <c r="W66" s="12"/>
      <c r="X66" s="12">
        <v>45.36</v>
      </c>
      <c r="Y66" s="12"/>
      <c r="Z66" s="12"/>
      <c r="AA66" s="12"/>
      <c r="AB66" s="12"/>
      <c r="AC66" s="12"/>
      <c r="AD66" s="12">
        <f t="shared" ref="AD66:AD129" si="17">SUM(J66:AC66)</f>
        <v>10120.39</v>
      </c>
      <c r="AE66" s="13">
        <f t="shared" ref="AE66:AE129" si="18">AD66-SUM(J66:AC66)</f>
        <v>0</v>
      </c>
      <c r="AF66" s="22">
        <f t="shared" ref="AF66:AF129" si="19">AD66-I66</f>
        <v>0</v>
      </c>
      <c r="AG66" s="21">
        <f t="shared" ref="AG66:AG129" si="20">ROUND(H66,2)</f>
        <v>2.38</v>
      </c>
      <c r="AH66" s="21">
        <f t="shared" ref="AH66:AH129" si="21">ROUND(AG66*0.07,2)</f>
        <v>0.17</v>
      </c>
      <c r="AI66" s="21">
        <f t="shared" ref="AI66:AI129" si="22">ROUND(AG66*0.03,2)</f>
        <v>0.07</v>
      </c>
      <c r="AJ66" s="21">
        <f t="shared" ref="AJ66:AJ129" si="23">ROUND(AG66*0.02,2)</f>
        <v>0.05</v>
      </c>
      <c r="AK66" s="21">
        <f t="shared" ref="AK66:AK129" si="24">IF(AR66,Y66/(AR66*1.12)*AR66,0)</f>
        <v>0</v>
      </c>
      <c r="AL66" s="21">
        <f t="shared" ref="AL66:AL129" si="25">ROUND(Y66-AK66,2)</f>
        <v>0</v>
      </c>
      <c r="AM66" s="21">
        <f t="shared" ref="AM66:AM129" si="26">ROUND(AG66-AK66,2)</f>
        <v>2.38</v>
      </c>
      <c r="AN66" s="21">
        <f t="shared" ref="AN66:AN129" si="27">ROUND(AM66*0.07,2)</f>
        <v>0.17</v>
      </c>
      <c r="AO66" s="21">
        <f t="shared" ref="AO66:AO129" si="28">ROUND(AM66*0.03,2)</f>
        <v>0.07</v>
      </c>
      <c r="AP66" s="21">
        <f t="shared" ref="AP66:AP129" si="29">ROUND(AH66+AI66+AJ66-AL66-AN66-AO66,2)</f>
        <v>0.05</v>
      </c>
      <c r="AQ66" s="21" t="str">
        <f t="shared" ref="AQ66:AQ129" si="30">"TJ"&amp;A66</f>
        <v>TJ202512051341000185756</v>
      </c>
      <c r="AR66" s="21">
        <f t="shared" ref="AR66:AR129" si="31">IF(E66="无全额",0,MID(E66,4,2)*1)</f>
        <v>0.05</v>
      </c>
    </row>
    <row r="67" spans="1:44">
      <c r="A67" s="12" t="s">
        <v>158</v>
      </c>
      <c r="B67" s="12" t="s">
        <v>159</v>
      </c>
      <c r="C67" s="12" t="s">
        <v>54</v>
      </c>
      <c r="D67" s="12" t="s">
        <v>55</v>
      </c>
      <c r="E67" s="12" t="s">
        <v>51</v>
      </c>
      <c r="F67" s="5">
        <f>ROUND(SUMIF([1]开票!$A$2:$A$1750,[1]申请!AQ67,[1]开票!$C$2:$C$1750),2)</f>
        <v>118355.66</v>
      </c>
      <c r="G67" s="5">
        <f>ROUND(SUMIF([1]开票!$A$2:$A$1750,[1]申请!AQ67,[1]开票!$D$2:$D$1750),2)</f>
        <v>0</v>
      </c>
      <c r="H67" s="5">
        <f>ROUND(SUMIF([1]开票!$A$2:$A$1750,[1]申请!AQ67,[1]开票!$E$2:$E$1750),2)</f>
        <v>7101.34</v>
      </c>
      <c r="I67" s="5">
        <f t="shared" si="16"/>
        <v>125457</v>
      </c>
      <c r="J67" s="12"/>
      <c r="K67" s="12"/>
      <c r="L67" s="12">
        <v>125457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>
        <f t="shared" si="17"/>
        <v>125457</v>
      </c>
      <c r="AE67" s="13">
        <f t="shared" si="18"/>
        <v>0</v>
      </c>
      <c r="AF67" s="14">
        <f t="shared" si="19"/>
        <v>0</v>
      </c>
      <c r="AG67" s="13">
        <f t="shared" si="20"/>
        <v>7101.34</v>
      </c>
      <c r="AH67" s="13">
        <f t="shared" si="21"/>
        <v>497.09</v>
      </c>
      <c r="AI67" s="13">
        <f t="shared" si="22"/>
        <v>213.04</v>
      </c>
      <c r="AJ67" s="13">
        <f t="shared" si="23"/>
        <v>142.03</v>
      </c>
      <c r="AK67" s="13">
        <f t="shared" si="24"/>
        <v>0</v>
      </c>
      <c r="AL67" s="13">
        <f t="shared" si="25"/>
        <v>0</v>
      </c>
      <c r="AM67" s="13">
        <f t="shared" si="26"/>
        <v>7101.34</v>
      </c>
      <c r="AN67" s="13">
        <f t="shared" si="27"/>
        <v>497.09</v>
      </c>
      <c r="AO67" s="13">
        <f t="shared" si="28"/>
        <v>213.04</v>
      </c>
      <c r="AP67" s="13">
        <f t="shared" si="29"/>
        <v>142.03</v>
      </c>
      <c r="AQ67" s="13" t="str">
        <f t="shared" si="30"/>
        <v>TJ202512051343000577561</v>
      </c>
      <c r="AR67" s="13">
        <f t="shared" si="31"/>
        <v>0.06</v>
      </c>
    </row>
    <row r="68" spans="1:44">
      <c r="A68" s="12" t="s">
        <v>160</v>
      </c>
      <c r="B68" s="12" t="s">
        <v>161</v>
      </c>
      <c r="C68" s="12" t="s">
        <v>54</v>
      </c>
      <c r="D68" s="12" t="s">
        <v>55</v>
      </c>
      <c r="E68" s="12" t="s">
        <v>51</v>
      </c>
      <c r="F68" s="5">
        <f>ROUND(SUMIF([1]开票!$A$2:$A$1750,[1]申请!AQ68,[1]开票!$C$2:$C$1750),2)</f>
        <v>29609.2</v>
      </c>
      <c r="G68" s="5">
        <f>ROUND(SUMIF([1]开票!$A$2:$A$1750,[1]申请!AQ68,[1]开票!$D$2:$D$1750),2)</f>
        <v>0</v>
      </c>
      <c r="H68" s="5">
        <f>ROUND(SUMIF([1]开票!$A$2:$A$1750,[1]申请!AQ68,[1]开票!$E$2:$E$1750),2)</f>
        <v>1776.55</v>
      </c>
      <c r="I68" s="5">
        <f t="shared" si="16"/>
        <v>31385.75</v>
      </c>
      <c r="J68" s="12"/>
      <c r="K68" s="12"/>
      <c r="L68" s="12">
        <v>31385.75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>
        <f t="shared" si="17"/>
        <v>31385.75</v>
      </c>
      <c r="AE68" s="13">
        <f t="shared" si="18"/>
        <v>0</v>
      </c>
      <c r="AF68" s="14">
        <f t="shared" si="19"/>
        <v>0</v>
      </c>
      <c r="AG68" s="13">
        <f t="shared" si="20"/>
        <v>1776.55</v>
      </c>
      <c r="AH68" s="13">
        <f t="shared" si="21"/>
        <v>124.36</v>
      </c>
      <c r="AI68" s="13">
        <f t="shared" si="22"/>
        <v>53.3</v>
      </c>
      <c r="AJ68" s="13">
        <f t="shared" si="23"/>
        <v>35.53</v>
      </c>
      <c r="AK68" s="13">
        <f t="shared" si="24"/>
        <v>0</v>
      </c>
      <c r="AL68" s="13">
        <f t="shared" si="25"/>
        <v>0</v>
      </c>
      <c r="AM68" s="13">
        <f t="shared" si="26"/>
        <v>1776.55</v>
      </c>
      <c r="AN68" s="13">
        <f t="shared" si="27"/>
        <v>124.36</v>
      </c>
      <c r="AO68" s="13">
        <f t="shared" si="28"/>
        <v>53.3</v>
      </c>
      <c r="AP68" s="13">
        <f t="shared" si="29"/>
        <v>35.53</v>
      </c>
      <c r="AQ68" s="13" t="str">
        <f t="shared" si="30"/>
        <v>TJ202512051345000256626</v>
      </c>
      <c r="AR68" s="13">
        <f t="shared" si="31"/>
        <v>0.06</v>
      </c>
    </row>
    <row r="69" spans="1:44">
      <c r="A69" s="12" t="s">
        <v>162</v>
      </c>
      <c r="B69" s="12" t="s">
        <v>59</v>
      </c>
      <c r="C69" s="12" t="s">
        <v>54</v>
      </c>
      <c r="D69" s="12" t="s">
        <v>60</v>
      </c>
      <c r="E69" s="12" t="s">
        <v>51</v>
      </c>
      <c r="F69" s="5">
        <f>ROUND(SUMIF([1]开票!$A$2:$A$1750,[1]申请!AQ69,[1]开票!$C$2:$C$1750),2)</f>
        <v>19683.96</v>
      </c>
      <c r="G69" s="5">
        <f>ROUND(SUMIF([1]开票!$A$2:$A$1750,[1]申请!AQ69,[1]开票!$D$2:$D$1750),2)</f>
        <v>0</v>
      </c>
      <c r="H69" s="5">
        <f>ROUND(SUMIF([1]开票!$A$2:$A$1750,[1]申请!AQ69,[1]开票!$E$2:$E$1750),2)</f>
        <v>1181.04</v>
      </c>
      <c r="I69" s="5">
        <f t="shared" si="16"/>
        <v>20865</v>
      </c>
      <c r="J69" s="12"/>
      <c r="K69" s="12"/>
      <c r="L69" s="12"/>
      <c r="M69" s="12"/>
      <c r="N69" s="12"/>
      <c r="O69" s="12"/>
      <c r="P69" s="12"/>
      <c r="Q69" s="12">
        <v>1365</v>
      </c>
      <c r="R69" s="12"/>
      <c r="S69" s="12"/>
      <c r="T69" s="12"/>
      <c r="U69" s="12"/>
      <c r="V69" s="12"/>
      <c r="W69" s="12"/>
      <c r="X69" s="12"/>
      <c r="Y69" s="12"/>
      <c r="Z69" s="12">
        <v>19500</v>
      </c>
      <c r="AA69" s="12"/>
      <c r="AB69" s="12"/>
      <c r="AC69" s="12"/>
      <c r="AD69" s="12">
        <f t="shared" si="17"/>
        <v>20865</v>
      </c>
      <c r="AE69" s="13">
        <f t="shared" si="18"/>
        <v>0</v>
      </c>
      <c r="AF69" s="14">
        <f t="shared" si="19"/>
        <v>0</v>
      </c>
      <c r="AG69" s="13">
        <f t="shared" si="20"/>
        <v>1181.04</v>
      </c>
      <c r="AH69" s="13">
        <f t="shared" si="21"/>
        <v>82.67</v>
      </c>
      <c r="AI69" s="13">
        <f t="shared" si="22"/>
        <v>35.43</v>
      </c>
      <c r="AJ69" s="13">
        <f t="shared" si="23"/>
        <v>23.62</v>
      </c>
      <c r="AK69" s="13">
        <f t="shared" si="24"/>
        <v>0</v>
      </c>
      <c r="AL69" s="13">
        <f t="shared" si="25"/>
        <v>0</v>
      </c>
      <c r="AM69" s="13">
        <f t="shared" si="26"/>
        <v>1181.04</v>
      </c>
      <c r="AN69" s="13">
        <f t="shared" si="27"/>
        <v>82.67</v>
      </c>
      <c r="AO69" s="13">
        <f t="shared" si="28"/>
        <v>35.43</v>
      </c>
      <c r="AP69" s="13">
        <f t="shared" si="29"/>
        <v>23.62</v>
      </c>
      <c r="AQ69" s="13" t="str">
        <f t="shared" si="30"/>
        <v>TJ202512051429000356828</v>
      </c>
      <c r="AR69" s="13">
        <f t="shared" si="31"/>
        <v>0.06</v>
      </c>
    </row>
    <row r="70" spans="1:44">
      <c r="A70" s="18" t="s">
        <v>163</v>
      </c>
      <c r="B70" s="12" t="s">
        <v>59</v>
      </c>
      <c r="C70" s="12" t="s">
        <v>54</v>
      </c>
      <c r="D70" s="12" t="s">
        <v>60</v>
      </c>
      <c r="E70" s="12" t="s">
        <v>51</v>
      </c>
      <c r="F70" s="5">
        <f>ROUND(SUMIF([1]开票!$A$2:$A$1750,[1]申请!AQ70,[1]开票!$C$2:$C$1750),2)</f>
        <v>19683.96</v>
      </c>
      <c r="G70" s="5">
        <f>ROUND(SUMIF([1]开票!$A$2:$A$1750,[1]申请!AQ70,[1]开票!$D$2:$D$1750),2)</f>
        <v>0</v>
      </c>
      <c r="H70" s="5">
        <f>ROUND(SUMIF([1]开票!$A$2:$A$1750,[1]申请!AQ70,[1]开票!$E$2:$E$1750),2)</f>
        <v>1181.04</v>
      </c>
      <c r="I70" s="5">
        <f t="shared" si="16"/>
        <v>20865</v>
      </c>
      <c r="J70" s="12"/>
      <c r="K70" s="12"/>
      <c r="L70" s="12"/>
      <c r="M70" s="12"/>
      <c r="N70" s="12"/>
      <c r="O70" s="12"/>
      <c r="P70" s="12"/>
      <c r="Q70" s="12">
        <v>1365</v>
      </c>
      <c r="R70" s="12"/>
      <c r="S70" s="15"/>
      <c r="T70" s="12"/>
      <c r="U70" s="12"/>
      <c r="V70" s="12"/>
      <c r="W70" s="12"/>
      <c r="X70" s="12"/>
      <c r="Y70" s="12"/>
      <c r="Z70" s="23">
        <v>19500</v>
      </c>
      <c r="AA70" s="15"/>
      <c r="AB70" s="12"/>
      <c r="AC70" s="12"/>
      <c r="AD70" s="12">
        <f t="shared" si="17"/>
        <v>20865</v>
      </c>
      <c r="AE70" s="13">
        <f t="shared" si="18"/>
        <v>0</v>
      </c>
      <c r="AF70" s="14">
        <f t="shared" si="19"/>
        <v>0</v>
      </c>
      <c r="AG70" s="13">
        <f t="shared" si="20"/>
        <v>1181.04</v>
      </c>
      <c r="AH70" s="13">
        <f t="shared" si="21"/>
        <v>82.67</v>
      </c>
      <c r="AI70" s="13">
        <f t="shared" si="22"/>
        <v>35.43</v>
      </c>
      <c r="AJ70" s="13">
        <f t="shared" si="23"/>
        <v>23.62</v>
      </c>
      <c r="AK70" s="13">
        <f t="shared" si="24"/>
        <v>0</v>
      </c>
      <c r="AL70" s="13">
        <f t="shared" si="25"/>
        <v>0</v>
      </c>
      <c r="AM70" s="13">
        <f t="shared" si="26"/>
        <v>1181.04</v>
      </c>
      <c r="AN70" s="13">
        <f t="shared" si="27"/>
        <v>82.67</v>
      </c>
      <c r="AO70" s="13">
        <f t="shared" si="28"/>
        <v>35.43</v>
      </c>
      <c r="AP70" s="13">
        <f t="shared" si="29"/>
        <v>23.62</v>
      </c>
      <c r="AQ70" s="13" t="str">
        <f t="shared" si="30"/>
        <v>TJ202512051434000156643</v>
      </c>
      <c r="AR70" s="13">
        <f t="shared" si="31"/>
        <v>0.06</v>
      </c>
    </row>
    <row r="71" spans="1:44">
      <c r="A71" s="12" t="s">
        <v>164</v>
      </c>
      <c r="B71" s="12" t="s">
        <v>123</v>
      </c>
      <c r="C71" s="12" t="s">
        <v>46</v>
      </c>
      <c r="D71" s="12" t="s">
        <v>47</v>
      </c>
      <c r="E71" s="12" t="s">
        <v>48</v>
      </c>
      <c r="F71" s="5">
        <f>ROUND(SUMIF([1]开票!$A$2:$A$1750,[1]申请!AQ71,[1]开票!$C$2:$C$1750),2)</f>
        <v>3740</v>
      </c>
      <c r="G71" s="5">
        <f>ROUND(SUMIF([1]开票!$A$2:$A$1750,[1]申请!AQ71,[1]开票!$D$2:$D$1750),2)</f>
        <v>2109364.01</v>
      </c>
      <c r="H71" s="5">
        <f>ROUND(SUMIF([1]开票!$A$2:$A$1750,[1]申请!AQ71,[1]开票!$E$2:$E$1750),2)</f>
        <v>187</v>
      </c>
      <c r="I71" s="5">
        <f t="shared" si="16"/>
        <v>2113291.01</v>
      </c>
      <c r="J71" s="12">
        <v>3927</v>
      </c>
      <c r="K71" s="12"/>
      <c r="L71" s="12"/>
      <c r="M71" s="12"/>
      <c r="N71" s="12"/>
      <c r="O71" s="12"/>
      <c r="P71" s="12"/>
      <c r="Q71" s="12"/>
      <c r="R71" s="12"/>
      <c r="S71" s="12">
        <v>1584539.9</v>
      </c>
      <c r="T71" s="12">
        <v>26118.89</v>
      </c>
      <c r="U71" s="12">
        <v>336195.22</v>
      </c>
      <c r="V71" s="12">
        <v>162510</v>
      </c>
      <c r="W71" s="12">
        <v>0</v>
      </c>
      <c r="X71" s="12"/>
      <c r="Y71" s="12"/>
      <c r="Z71" s="12"/>
      <c r="AA71" s="12"/>
      <c r="AB71" s="12"/>
      <c r="AC71" s="12"/>
      <c r="AD71" s="12">
        <f t="shared" si="17"/>
        <v>2113291.01</v>
      </c>
      <c r="AE71" s="13">
        <f t="shared" si="18"/>
        <v>0</v>
      </c>
      <c r="AF71" s="14">
        <f t="shared" si="19"/>
        <v>0</v>
      </c>
      <c r="AG71" s="13">
        <f t="shared" si="20"/>
        <v>187</v>
      </c>
      <c r="AH71" s="13">
        <f t="shared" si="21"/>
        <v>13.09</v>
      </c>
      <c r="AI71" s="13">
        <f t="shared" si="22"/>
        <v>5.61</v>
      </c>
      <c r="AJ71" s="13">
        <f t="shared" si="23"/>
        <v>3.74</v>
      </c>
      <c r="AK71" s="13">
        <f t="shared" si="24"/>
        <v>0</v>
      </c>
      <c r="AL71" s="13">
        <f t="shared" si="25"/>
        <v>0</v>
      </c>
      <c r="AM71" s="13">
        <f t="shared" si="26"/>
        <v>187</v>
      </c>
      <c r="AN71" s="13">
        <f t="shared" si="27"/>
        <v>13.09</v>
      </c>
      <c r="AO71" s="13">
        <f t="shared" si="28"/>
        <v>5.61</v>
      </c>
      <c r="AP71" s="13">
        <f t="shared" si="29"/>
        <v>3.74</v>
      </c>
      <c r="AQ71" s="13" t="str">
        <f t="shared" si="30"/>
        <v>TJ202512051434000235037</v>
      </c>
      <c r="AR71" s="13">
        <f t="shared" si="31"/>
        <v>0.05</v>
      </c>
    </row>
    <row r="72" spans="1:44">
      <c r="A72" s="18" t="s">
        <v>165</v>
      </c>
      <c r="B72" s="12" t="s">
        <v>59</v>
      </c>
      <c r="C72" s="12" t="s">
        <v>54</v>
      </c>
      <c r="D72" s="12" t="s">
        <v>60</v>
      </c>
      <c r="E72" s="12" t="s">
        <v>51</v>
      </c>
      <c r="F72" s="5">
        <f>ROUND(SUMIF([1]开票!$A$2:$A$1750,[1]申请!AQ72,[1]开票!$C$2:$C$1750),2)</f>
        <v>19683.96</v>
      </c>
      <c r="G72" s="5">
        <f>ROUND(SUMIF([1]开票!$A$2:$A$1750,[1]申请!AQ72,[1]开票!$D$2:$D$1750),2)</f>
        <v>0</v>
      </c>
      <c r="H72" s="5">
        <f>ROUND(SUMIF([1]开票!$A$2:$A$1750,[1]申请!AQ72,[1]开票!$E$2:$E$1750),2)</f>
        <v>1181.04</v>
      </c>
      <c r="I72" s="5">
        <f t="shared" si="16"/>
        <v>20865</v>
      </c>
      <c r="J72" s="12"/>
      <c r="K72" s="15"/>
      <c r="L72" s="12"/>
      <c r="M72" s="12"/>
      <c r="N72" s="12"/>
      <c r="O72" s="12"/>
      <c r="P72" s="12"/>
      <c r="Q72" s="12">
        <v>1365</v>
      </c>
      <c r="R72" s="12"/>
      <c r="S72" s="12"/>
      <c r="T72" s="12"/>
      <c r="U72" s="12"/>
      <c r="V72" s="12"/>
      <c r="W72" s="12"/>
      <c r="X72" s="12"/>
      <c r="Y72" s="12"/>
      <c r="Z72" s="12">
        <v>19500</v>
      </c>
      <c r="AA72" s="12"/>
      <c r="AB72" s="12"/>
      <c r="AC72" s="12"/>
      <c r="AD72" s="12">
        <f t="shared" si="17"/>
        <v>20865</v>
      </c>
      <c r="AE72" s="13">
        <f t="shared" si="18"/>
        <v>0</v>
      </c>
      <c r="AF72" s="14">
        <f t="shared" si="19"/>
        <v>0</v>
      </c>
      <c r="AG72" s="13">
        <f t="shared" si="20"/>
        <v>1181.04</v>
      </c>
      <c r="AH72" s="13">
        <f t="shared" si="21"/>
        <v>82.67</v>
      </c>
      <c r="AI72" s="13">
        <f t="shared" si="22"/>
        <v>35.43</v>
      </c>
      <c r="AJ72" s="13">
        <f t="shared" si="23"/>
        <v>23.62</v>
      </c>
      <c r="AK72" s="13">
        <f t="shared" si="24"/>
        <v>0</v>
      </c>
      <c r="AL72" s="13">
        <f t="shared" si="25"/>
        <v>0</v>
      </c>
      <c r="AM72" s="13">
        <f t="shared" si="26"/>
        <v>1181.04</v>
      </c>
      <c r="AN72" s="13">
        <f t="shared" si="27"/>
        <v>82.67</v>
      </c>
      <c r="AO72" s="13">
        <f t="shared" si="28"/>
        <v>35.43</v>
      </c>
      <c r="AP72" s="13">
        <f t="shared" si="29"/>
        <v>23.62</v>
      </c>
      <c r="AQ72" s="13" t="str">
        <f t="shared" si="30"/>
        <v>TJ202512051436000061048</v>
      </c>
      <c r="AR72" s="13">
        <f t="shared" si="31"/>
        <v>0.06</v>
      </c>
    </row>
    <row r="73" spans="1:44">
      <c r="A73" s="12" t="s">
        <v>166</v>
      </c>
      <c r="B73" s="12" t="s">
        <v>167</v>
      </c>
      <c r="C73" s="12" t="s">
        <v>54</v>
      </c>
      <c r="D73" s="12" t="s">
        <v>55</v>
      </c>
      <c r="E73" s="12" t="s">
        <v>51</v>
      </c>
      <c r="F73" s="5">
        <f>ROUND(SUMIF([1]开票!$A$2:$A$1750,[1]申请!AQ73,[1]开票!$C$2:$C$1750),2)</f>
        <v>4649.28</v>
      </c>
      <c r="G73" s="5">
        <f>ROUND(SUMIF([1]开票!$A$2:$A$1750,[1]申请!AQ73,[1]开票!$D$2:$D$1750),2)</f>
        <v>0</v>
      </c>
      <c r="H73" s="5">
        <f>ROUND(SUMIF([1]开票!$A$2:$A$1750,[1]申请!AQ73,[1]开票!$E$2:$E$1750),2)</f>
        <v>278.96</v>
      </c>
      <c r="I73" s="5">
        <f t="shared" si="16"/>
        <v>4928.24</v>
      </c>
      <c r="J73" s="12"/>
      <c r="K73" s="12"/>
      <c r="L73" s="12">
        <v>4928.24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>
        <f t="shared" si="17"/>
        <v>4928.24</v>
      </c>
      <c r="AE73" s="13">
        <f t="shared" si="18"/>
        <v>0</v>
      </c>
      <c r="AF73" s="14">
        <f t="shared" si="19"/>
        <v>0</v>
      </c>
      <c r="AG73" s="13">
        <f t="shared" si="20"/>
        <v>278.96</v>
      </c>
      <c r="AH73" s="13">
        <f t="shared" si="21"/>
        <v>19.53</v>
      </c>
      <c r="AI73" s="13">
        <f t="shared" si="22"/>
        <v>8.37</v>
      </c>
      <c r="AJ73" s="13">
        <f t="shared" si="23"/>
        <v>5.58</v>
      </c>
      <c r="AK73" s="13">
        <f t="shared" si="24"/>
        <v>0</v>
      </c>
      <c r="AL73" s="13">
        <f t="shared" si="25"/>
        <v>0</v>
      </c>
      <c r="AM73" s="13">
        <f t="shared" si="26"/>
        <v>278.96</v>
      </c>
      <c r="AN73" s="13">
        <f t="shared" si="27"/>
        <v>19.53</v>
      </c>
      <c r="AO73" s="13">
        <f t="shared" si="28"/>
        <v>8.37</v>
      </c>
      <c r="AP73" s="13">
        <f t="shared" si="29"/>
        <v>5.58</v>
      </c>
      <c r="AQ73" s="13" t="str">
        <f t="shared" si="30"/>
        <v>TJ202512051520000077707</v>
      </c>
      <c r="AR73" s="13">
        <f t="shared" si="31"/>
        <v>0.06</v>
      </c>
    </row>
    <row r="74" spans="1:44">
      <c r="A74" s="12" t="s">
        <v>168</v>
      </c>
      <c r="B74" s="12" t="s">
        <v>169</v>
      </c>
      <c r="C74" s="12" t="s">
        <v>54</v>
      </c>
      <c r="D74" s="12" t="s">
        <v>47</v>
      </c>
      <c r="E74" s="12" t="s">
        <v>51</v>
      </c>
      <c r="F74" s="5">
        <f>ROUND(SUMIF([1]开票!$A$2:$A$1750,[1]申请!AQ74,[1]开票!$C$2:$C$1750),2)</f>
        <v>63408.75</v>
      </c>
      <c r="G74" s="5">
        <f>ROUND(SUMIF([1]开票!$A$2:$A$1750,[1]申请!AQ74,[1]开票!$D$2:$D$1750),2)</f>
        <v>0</v>
      </c>
      <c r="H74" s="5">
        <f>ROUND(SUMIF([1]开票!$A$2:$A$1750,[1]申请!AQ74,[1]开票!$E$2:$E$1750),2)</f>
        <v>3804.53</v>
      </c>
      <c r="I74" s="5">
        <f t="shared" si="16"/>
        <v>67213.28</v>
      </c>
      <c r="J74" s="12">
        <v>160</v>
      </c>
      <c r="K74" s="12"/>
      <c r="L74" s="12"/>
      <c r="M74" s="12"/>
      <c r="N74" s="12"/>
      <c r="O74" s="12"/>
      <c r="P74" s="12"/>
      <c r="Q74" s="12"/>
      <c r="R74" s="12"/>
      <c r="S74" s="12">
        <v>53336.74</v>
      </c>
      <c r="T74" s="12">
        <v>179.38</v>
      </c>
      <c r="U74" s="12">
        <v>9029.98</v>
      </c>
      <c r="V74" s="12"/>
      <c r="W74" s="12">
        <v>94</v>
      </c>
      <c r="X74" s="12">
        <v>190.92</v>
      </c>
      <c r="Y74" s="12">
        <v>4222.26</v>
      </c>
      <c r="Z74" s="12"/>
      <c r="AA74" s="12"/>
      <c r="AB74" s="12"/>
      <c r="AC74" s="12"/>
      <c r="AD74" s="12">
        <f t="shared" si="17"/>
        <v>67213.28</v>
      </c>
      <c r="AE74" s="13">
        <f t="shared" si="18"/>
        <v>0</v>
      </c>
      <c r="AF74" s="14">
        <f t="shared" si="19"/>
        <v>0</v>
      </c>
      <c r="AG74" s="13">
        <f t="shared" si="20"/>
        <v>3804.53</v>
      </c>
      <c r="AH74" s="13">
        <f t="shared" si="21"/>
        <v>266.32</v>
      </c>
      <c r="AI74" s="13">
        <f t="shared" si="22"/>
        <v>114.14</v>
      </c>
      <c r="AJ74" s="13">
        <f t="shared" si="23"/>
        <v>76.09</v>
      </c>
      <c r="AK74" s="13">
        <f t="shared" si="24"/>
        <v>3769.875</v>
      </c>
      <c r="AL74" s="13">
        <f t="shared" si="25"/>
        <v>452.39</v>
      </c>
      <c r="AM74" s="13">
        <f t="shared" si="26"/>
        <v>34.66</v>
      </c>
      <c r="AN74" s="13">
        <f t="shared" si="27"/>
        <v>2.43</v>
      </c>
      <c r="AO74" s="13">
        <f t="shared" si="28"/>
        <v>1.04</v>
      </c>
      <c r="AP74" s="13">
        <f t="shared" si="29"/>
        <v>0.69</v>
      </c>
      <c r="AQ74" s="13" t="str">
        <f t="shared" si="30"/>
        <v>TJ202512051528000021505</v>
      </c>
      <c r="AR74" s="13">
        <f t="shared" si="31"/>
        <v>0.06</v>
      </c>
    </row>
    <row r="75" spans="1:44">
      <c r="A75" s="18" t="s">
        <v>170</v>
      </c>
      <c r="B75" s="12" t="s">
        <v>171</v>
      </c>
      <c r="C75" s="12" t="s">
        <v>54</v>
      </c>
      <c r="D75" s="12" t="s">
        <v>55</v>
      </c>
      <c r="E75" s="12" t="s">
        <v>51</v>
      </c>
      <c r="F75" s="5">
        <f>ROUND(SUMIF([1]开票!$A$2:$A$1750,[1]申请!AQ75,[1]开票!$C$2:$C$1750),2)</f>
        <v>58239.91</v>
      </c>
      <c r="G75" s="5">
        <f>ROUND(SUMIF([1]开票!$A$2:$A$1750,[1]申请!AQ75,[1]开票!$D$2:$D$1750),2)</f>
        <v>0</v>
      </c>
      <c r="H75" s="5">
        <f>ROUND(SUMIF([1]开票!$A$2:$A$1750,[1]申请!AQ75,[1]开票!$E$2:$E$1750),2)</f>
        <v>3494.39</v>
      </c>
      <c r="I75" s="5">
        <f t="shared" si="16"/>
        <v>61734.3</v>
      </c>
      <c r="J75" s="12"/>
      <c r="K75" s="12"/>
      <c r="L75" s="16">
        <v>61734.3</v>
      </c>
      <c r="M75" s="16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>
        <f t="shared" si="17"/>
        <v>61734.3</v>
      </c>
      <c r="AE75" s="13">
        <f t="shared" si="18"/>
        <v>0</v>
      </c>
      <c r="AF75" s="14">
        <f t="shared" si="19"/>
        <v>0</v>
      </c>
      <c r="AG75" s="13">
        <f t="shared" si="20"/>
        <v>3494.39</v>
      </c>
      <c r="AH75" s="13">
        <f t="shared" si="21"/>
        <v>244.61</v>
      </c>
      <c r="AI75" s="13">
        <f t="shared" si="22"/>
        <v>104.83</v>
      </c>
      <c r="AJ75" s="13">
        <f t="shared" si="23"/>
        <v>69.89</v>
      </c>
      <c r="AK75" s="13">
        <f t="shared" si="24"/>
        <v>0</v>
      </c>
      <c r="AL75" s="13">
        <f t="shared" si="25"/>
        <v>0</v>
      </c>
      <c r="AM75" s="13">
        <f t="shared" si="26"/>
        <v>3494.39</v>
      </c>
      <c r="AN75" s="13">
        <f t="shared" si="27"/>
        <v>244.61</v>
      </c>
      <c r="AO75" s="13">
        <f t="shared" si="28"/>
        <v>104.83</v>
      </c>
      <c r="AP75" s="13">
        <f t="shared" si="29"/>
        <v>69.89</v>
      </c>
      <c r="AQ75" s="13" t="str">
        <f t="shared" si="30"/>
        <v>TJ202512051533000152147</v>
      </c>
      <c r="AR75" s="13">
        <f t="shared" si="31"/>
        <v>0.06</v>
      </c>
    </row>
    <row r="76" spans="1:44">
      <c r="A76" s="12" t="s">
        <v>172</v>
      </c>
      <c r="B76" s="12" t="s">
        <v>173</v>
      </c>
      <c r="C76" s="12" t="s">
        <v>54</v>
      </c>
      <c r="D76" s="12" t="s">
        <v>47</v>
      </c>
      <c r="E76" s="12" t="s">
        <v>51</v>
      </c>
      <c r="F76" s="5">
        <f>ROUND(SUMIF([1]开票!$A$2:$A$1750,[1]申请!AQ76,[1]开票!$C$2:$C$1750),2)</f>
        <v>10752.52</v>
      </c>
      <c r="G76" s="5">
        <f>ROUND(SUMIF([1]开票!$A$2:$A$1750,[1]申请!AQ76,[1]开票!$D$2:$D$1750),2)</f>
        <v>0</v>
      </c>
      <c r="H76" s="5">
        <f>ROUND(SUMIF([1]开票!$A$2:$A$1750,[1]申请!AQ76,[1]开票!$E$2:$E$1750),2)</f>
        <v>645.15</v>
      </c>
      <c r="I76" s="5">
        <f t="shared" si="16"/>
        <v>11397.67</v>
      </c>
      <c r="J76" s="12"/>
      <c r="K76" s="12"/>
      <c r="L76" s="12">
        <v>995.37</v>
      </c>
      <c r="M76" s="12"/>
      <c r="N76" s="12"/>
      <c r="O76" s="12"/>
      <c r="P76" s="12"/>
      <c r="Q76" s="12"/>
      <c r="R76" s="12"/>
      <c r="S76" s="12">
        <v>5685.63</v>
      </c>
      <c r="T76" s="12">
        <v>0</v>
      </c>
      <c r="U76" s="12">
        <v>2562.69</v>
      </c>
      <c r="V76" s="12">
        <v>1252</v>
      </c>
      <c r="W76" s="12">
        <v>40</v>
      </c>
      <c r="X76" s="12">
        <v>144.29</v>
      </c>
      <c r="Y76" s="12">
        <v>717.69</v>
      </c>
      <c r="Z76" s="12"/>
      <c r="AA76" s="12"/>
      <c r="AB76" s="12"/>
      <c r="AC76" s="12"/>
      <c r="AD76" s="12">
        <f t="shared" si="17"/>
        <v>11397.67</v>
      </c>
      <c r="AE76" s="13">
        <f t="shared" si="18"/>
        <v>0</v>
      </c>
      <c r="AF76" s="14">
        <f t="shared" si="19"/>
        <v>0</v>
      </c>
      <c r="AG76" s="13">
        <f t="shared" si="20"/>
        <v>645.15</v>
      </c>
      <c r="AH76" s="13">
        <f t="shared" si="21"/>
        <v>45.16</v>
      </c>
      <c r="AI76" s="13">
        <f t="shared" si="22"/>
        <v>19.35</v>
      </c>
      <c r="AJ76" s="13">
        <f t="shared" si="23"/>
        <v>12.9</v>
      </c>
      <c r="AK76" s="13">
        <f t="shared" si="24"/>
        <v>640.794642857143</v>
      </c>
      <c r="AL76" s="13">
        <f t="shared" si="25"/>
        <v>76.9</v>
      </c>
      <c r="AM76" s="13">
        <f t="shared" si="26"/>
        <v>4.36</v>
      </c>
      <c r="AN76" s="13">
        <f t="shared" si="27"/>
        <v>0.31</v>
      </c>
      <c r="AO76" s="13">
        <f t="shared" si="28"/>
        <v>0.13</v>
      </c>
      <c r="AP76" s="13">
        <f t="shared" si="29"/>
        <v>0.07</v>
      </c>
      <c r="AQ76" s="13" t="str">
        <f t="shared" si="30"/>
        <v>TJ202512051546000108257</v>
      </c>
      <c r="AR76" s="13">
        <f t="shared" si="31"/>
        <v>0.06</v>
      </c>
    </row>
    <row r="77" spans="1:44">
      <c r="A77" s="12" t="s">
        <v>174</v>
      </c>
      <c r="B77" s="12" t="s">
        <v>175</v>
      </c>
      <c r="C77" s="12" t="s">
        <v>46</v>
      </c>
      <c r="D77" s="12" t="s">
        <v>55</v>
      </c>
      <c r="E77" s="12" t="s">
        <v>51</v>
      </c>
      <c r="F77" s="5">
        <f>ROUND(SUMIF([1]开票!$A$2:$A$1750,[1]申请!AQ77,[1]开票!$C$2:$C$1750),2)</f>
        <v>6201.34</v>
      </c>
      <c r="G77" s="5">
        <f>ROUND(SUMIF([1]开票!$A$2:$A$1750,[1]申请!AQ77,[1]开票!$D$2:$D$1750),2)</f>
        <v>0</v>
      </c>
      <c r="H77" s="5">
        <f>ROUND(SUMIF([1]开票!$A$2:$A$1750,[1]申请!AQ77,[1]开票!$E$2:$E$1750),2)</f>
        <v>372.08</v>
      </c>
      <c r="I77" s="5">
        <f t="shared" si="16"/>
        <v>6573.42</v>
      </c>
      <c r="J77" s="12">
        <v>145</v>
      </c>
      <c r="K77" s="12"/>
      <c r="L77" s="12"/>
      <c r="M77" s="12"/>
      <c r="N77" s="12"/>
      <c r="O77" s="12"/>
      <c r="P77" s="12"/>
      <c r="Q77" s="12"/>
      <c r="R77" s="12"/>
      <c r="S77" s="12">
        <v>5694.16</v>
      </c>
      <c r="T77" s="12"/>
      <c r="U77" s="12">
        <v>330.6</v>
      </c>
      <c r="V77" s="12"/>
      <c r="W77" s="12"/>
      <c r="X77" s="12"/>
      <c r="Y77" s="12">
        <v>403.66</v>
      </c>
      <c r="Z77" s="12"/>
      <c r="AA77" s="12"/>
      <c r="AB77" s="12"/>
      <c r="AC77" s="12"/>
      <c r="AD77" s="12">
        <f t="shared" si="17"/>
        <v>6573.42</v>
      </c>
      <c r="AE77" s="13">
        <f t="shared" si="18"/>
        <v>0</v>
      </c>
      <c r="AF77" s="14">
        <f t="shared" si="19"/>
        <v>0</v>
      </c>
      <c r="AG77" s="13">
        <f t="shared" si="20"/>
        <v>372.08</v>
      </c>
      <c r="AH77" s="13">
        <f t="shared" si="21"/>
        <v>26.05</v>
      </c>
      <c r="AI77" s="13">
        <f t="shared" si="22"/>
        <v>11.16</v>
      </c>
      <c r="AJ77" s="13">
        <f t="shared" si="23"/>
        <v>7.44</v>
      </c>
      <c r="AK77" s="13">
        <f t="shared" si="24"/>
        <v>360.410714285714</v>
      </c>
      <c r="AL77" s="13">
        <f t="shared" si="25"/>
        <v>43.25</v>
      </c>
      <c r="AM77" s="13">
        <f t="shared" si="26"/>
        <v>11.67</v>
      </c>
      <c r="AN77" s="13">
        <f t="shared" si="27"/>
        <v>0.82</v>
      </c>
      <c r="AO77" s="13">
        <f t="shared" si="28"/>
        <v>0.35</v>
      </c>
      <c r="AP77" s="13">
        <f t="shared" si="29"/>
        <v>0.23</v>
      </c>
      <c r="AQ77" s="13" t="str">
        <f t="shared" si="30"/>
        <v>TJ202512051638000450827</v>
      </c>
      <c r="AR77" s="13">
        <f t="shared" si="31"/>
        <v>0.06</v>
      </c>
    </row>
    <row r="78" spans="1:44">
      <c r="A78" s="12" t="s">
        <v>176</v>
      </c>
      <c r="B78" s="12" t="s">
        <v>177</v>
      </c>
      <c r="C78" s="12" t="s">
        <v>54</v>
      </c>
      <c r="D78" s="12" t="s">
        <v>55</v>
      </c>
      <c r="E78" s="12" t="s">
        <v>51</v>
      </c>
      <c r="F78" s="5">
        <f>ROUND(SUMIF([1]开票!$A$2:$A$1750,[1]申请!AQ78,[1]开票!$C$2:$C$1750),2)</f>
        <v>44372.19</v>
      </c>
      <c r="G78" s="5">
        <f>ROUND(SUMIF([1]开票!$A$2:$A$1750,[1]申请!AQ78,[1]开票!$D$2:$D$1750),2)</f>
        <v>0</v>
      </c>
      <c r="H78" s="5">
        <f>ROUND(SUMIF([1]开票!$A$2:$A$1750,[1]申请!AQ78,[1]开票!$E$2:$E$1750),2)</f>
        <v>2662.33</v>
      </c>
      <c r="I78" s="5">
        <f t="shared" si="16"/>
        <v>47034.52</v>
      </c>
      <c r="J78" s="12">
        <v>466.24</v>
      </c>
      <c r="K78" s="12"/>
      <c r="L78" s="12"/>
      <c r="M78" s="12"/>
      <c r="N78" s="17"/>
      <c r="O78" s="12"/>
      <c r="P78" s="12"/>
      <c r="Q78" s="12"/>
      <c r="R78" s="12"/>
      <c r="S78" s="12">
        <v>34285.24</v>
      </c>
      <c r="T78" s="12">
        <v>843.36</v>
      </c>
      <c r="U78" s="12">
        <v>6537.52</v>
      </c>
      <c r="V78" s="12">
        <v>1780.48</v>
      </c>
      <c r="W78" s="12">
        <v>160</v>
      </c>
      <c r="X78" s="12"/>
      <c r="Y78" s="12">
        <v>2961.68</v>
      </c>
      <c r="Z78" s="12"/>
      <c r="AA78" s="12">
        <v>0</v>
      </c>
      <c r="AB78" s="12"/>
      <c r="AC78" s="12"/>
      <c r="AD78" s="12">
        <f t="shared" si="17"/>
        <v>47034.52</v>
      </c>
      <c r="AE78" s="13">
        <f t="shared" si="18"/>
        <v>0</v>
      </c>
      <c r="AF78" s="14">
        <f t="shared" si="19"/>
        <v>0</v>
      </c>
      <c r="AG78" s="13">
        <f t="shared" si="20"/>
        <v>2662.33</v>
      </c>
      <c r="AH78" s="13">
        <f t="shared" si="21"/>
        <v>186.36</v>
      </c>
      <c r="AI78" s="13">
        <f t="shared" si="22"/>
        <v>79.87</v>
      </c>
      <c r="AJ78" s="13">
        <f t="shared" si="23"/>
        <v>53.25</v>
      </c>
      <c r="AK78" s="13">
        <f t="shared" si="24"/>
        <v>2644.35714285714</v>
      </c>
      <c r="AL78" s="13">
        <f t="shared" si="25"/>
        <v>317.32</v>
      </c>
      <c r="AM78" s="13">
        <f t="shared" si="26"/>
        <v>17.97</v>
      </c>
      <c r="AN78" s="13">
        <f t="shared" si="27"/>
        <v>1.26</v>
      </c>
      <c r="AO78" s="13">
        <f t="shared" si="28"/>
        <v>0.54</v>
      </c>
      <c r="AP78" s="13">
        <f t="shared" si="29"/>
        <v>0.36</v>
      </c>
      <c r="AQ78" s="13" t="str">
        <f t="shared" si="30"/>
        <v>TJ202512051705000129633</v>
      </c>
      <c r="AR78" s="13">
        <f t="shared" si="31"/>
        <v>0.06</v>
      </c>
    </row>
    <row r="79" ht="15" spans="1:44">
      <c r="A79" s="18" t="s">
        <v>178</v>
      </c>
      <c r="B79" s="12" t="s">
        <v>179</v>
      </c>
      <c r="C79" s="12" t="s">
        <v>54</v>
      </c>
      <c r="D79" s="12" t="s">
        <v>47</v>
      </c>
      <c r="E79" s="12" t="s">
        <v>51</v>
      </c>
      <c r="F79" s="5">
        <f>ROUND(SUMIF([1]开票!$A$2:$A$1750,[1]申请!AQ79,[1]开票!$C$2:$C$1750),2)</f>
        <v>479625.24</v>
      </c>
      <c r="G79" s="5">
        <f>ROUND(SUMIF([1]开票!$A$2:$A$1750,[1]申请!AQ79,[1]开票!$D$2:$D$1750),2)</f>
        <v>0</v>
      </c>
      <c r="H79" s="5">
        <f>ROUND(SUMIF([1]开票!$A$2:$A$1750,[1]申请!AQ79,[1]开票!$E$2:$E$1750),2)</f>
        <v>28777.53</v>
      </c>
      <c r="I79" s="5">
        <f t="shared" si="16"/>
        <v>508402.77</v>
      </c>
      <c r="J79" s="12">
        <v>29680.77</v>
      </c>
      <c r="K79" s="12"/>
      <c r="L79" s="20"/>
      <c r="M79" s="12"/>
      <c r="N79" s="12"/>
      <c r="O79" s="12"/>
      <c r="P79" s="12"/>
      <c r="Q79" s="12"/>
      <c r="R79" s="12"/>
      <c r="S79" s="12">
        <v>478722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>
        <f t="shared" si="17"/>
        <v>508402.77</v>
      </c>
      <c r="AE79" s="13">
        <f t="shared" si="18"/>
        <v>0</v>
      </c>
      <c r="AF79" s="14">
        <f t="shared" si="19"/>
        <v>0</v>
      </c>
      <c r="AG79" s="13">
        <f t="shared" si="20"/>
        <v>28777.53</v>
      </c>
      <c r="AH79" s="13">
        <f t="shared" si="21"/>
        <v>2014.43</v>
      </c>
      <c r="AI79" s="13">
        <f t="shared" si="22"/>
        <v>863.33</v>
      </c>
      <c r="AJ79" s="13">
        <f t="shared" si="23"/>
        <v>575.55</v>
      </c>
      <c r="AK79" s="13">
        <f t="shared" si="24"/>
        <v>0</v>
      </c>
      <c r="AL79" s="13">
        <f t="shared" si="25"/>
        <v>0</v>
      </c>
      <c r="AM79" s="13">
        <f t="shared" si="26"/>
        <v>28777.53</v>
      </c>
      <c r="AN79" s="13">
        <f t="shared" si="27"/>
        <v>2014.43</v>
      </c>
      <c r="AO79" s="13">
        <f t="shared" si="28"/>
        <v>863.33</v>
      </c>
      <c r="AP79" s="13">
        <f t="shared" si="29"/>
        <v>575.55</v>
      </c>
      <c r="AQ79" s="13" t="str">
        <f t="shared" si="30"/>
        <v>TJ202512062035000130046</v>
      </c>
      <c r="AR79" s="13">
        <f t="shared" si="31"/>
        <v>0.06</v>
      </c>
    </row>
    <row r="80" spans="1:44">
      <c r="A80" s="12" t="s">
        <v>180</v>
      </c>
      <c r="B80" s="12" t="s">
        <v>181</v>
      </c>
      <c r="C80" s="12" t="s">
        <v>54</v>
      </c>
      <c r="D80" s="12" t="s">
        <v>55</v>
      </c>
      <c r="E80" s="12" t="s">
        <v>51</v>
      </c>
      <c r="F80" s="5">
        <f>ROUND(SUMIF([1]开票!$A$2:$A$1750,[1]申请!AQ80,[1]开票!$C$2:$C$1750),2)</f>
        <v>50488.37</v>
      </c>
      <c r="G80" s="5">
        <f>ROUND(SUMIF([1]开票!$A$2:$A$1750,[1]申请!AQ80,[1]开票!$D$2:$D$1750),2)</f>
        <v>0</v>
      </c>
      <c r="H80" s="5">
        <f>ROUND(SUMIF([1]开票!$A$2:$A$1750,[1]申请!AQ80,[1]开票!$E$2:$E$1750),2)</f>
        <v>3029.3</v>
      </c>
      <c r="I80" s="5">
        <f t="shared" si="16"/>
        <v>53517.67</v>
      </c>
      <c r="J80" s="12"/>
      <c r="K80" s="12"/>
      <c r="L80" s="12">
        <v>53517.67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>
        <f t="shared" si="17"/>
        <v>53517.67</v>
      </c>
      <c r="AE80" s="13">
        <f t="shared" si="18"/>
        <v>0</v>
      </c>
      <c r="AF80" s="14">
        <f t="shared" si="19"/>
        <v>0</v>
      </c>
      <c r="AG80" s="13">
        <f t="shared" si="20"/>
        <v>3029.3</v>
      </c>
      <c r="AH80" s="13">
        <f t="shared" si="21"/>
        <v>212.05</v>
      </c>
      <c r="AI80" s="13">
        <f t="shared" si="22"/>
        <v>90.88</v>
      </c>
      <c r="AJ80" s="13">
        <f t="shared" si="23"/>
        <v>60.59</v>
      </c>
      <c r="AK80" s="13">
        <f t="shared" si="24"/>
        <v>0</v>
      </c>
      <c r="AL80" s="13">
        <f t="shared" si="25"/>
        <v>0</v>
      </c>
      <c r="AM80" s="13">
        <f t="shared" si="26"/>
        <v>3029.3</v>
      </c>
      <c r="AN80" s="13">
        <f t="shared" si="27"/>
        <v>212.05</v>
      </c>
      <c r="AO80" s="13">
        <f t="shared" si="28"/>
        <v>90.88</v>
      </c>
      <c r="AP80" s="13">
        <f t="shared" si="29"/>
        <v>60.59</v>
      </c>
      <c r="AQ80" s="13" t="str">
        <f t="shared" si="30"/>
        <v>TJ202512080958000512038</v>
      </c>
      <c r="AR80" s="13">
        <f t="shared" si="31"/>
        <v>0.06</v>
      </c>
    </row>
    <row r="81" spans="1:44">
      <c r="A81" s="12" t="s">
        <v>182</v>
      </c>
      <c r="B81" s="12" t="s">
        <v>183</v>
      </c>
      <c r="C81" s="12" t="s">
        <v>46</v>
      </c>
      <c r="D81" s="12" t="s">
        <v>47</v>
      </c>
      <c r="E81" s="12" t="s">
        <v>184</v>
      </c>
      <c r="F81" s="5">
        <f>ROUND(SUMIF([1]开票!$A$2:$A$1750,[1]申请!AQ81,[1]开票!$C$2:$C$1750),2)</f>
        <v>309.87</v>
      </c>
      <c r="G81" s="5">
        <f>ROUND(SUMIF([1]开票!$A$2:$A$1750,[1]申请!AQ81,[1]开票!$D$2:$D$1750),2)</f>
        <v>6000</v>
      </c>
      <c r="H81" s="5">
        <f>ROUND(SUMIF([1]开票!$A$2:$A$1750,[1]申请!AQ81,[1]开票!$E$2:$E$1750),2)</f>
        <v>15.49</v>
      </c>
      <c r="I81" s="5">
        <f t="shared" si="16"/>
        <v>6325.36</v>
      </c>
      <c r="J81" s="12">
        <v>227</v>
      </c>
      <c r="K81" s="12"/>
      <c r="L81" s="12"/>
      <c r="M81" s="12"/>
      <c r="N81" s="12"/>
      <c r="O81" s="12"/>
      <c r="P81" s="12"/>
      <c r="Q81" s="12"/>
      <c r="R81" s="12"/>
      <c r="S81" s="12">
        <v>6000</v>
      </c>
      <c r="T81" s="12"/>
      <c r="U81" s="12"/>
      <c r="V81" s="12"/>
      <c r="W81" s="12">
        <v>53</v>
      </c>
      <c r="X81" s="12">
        <v>45.36</v>
      </c>
      <c r="Y81" s="12"/>
      <c r="Z81" s="12"/>
      <c r="AA81" s="12"/>
      <c r="AB81" s="12"/>
      <c r="AC81" s="12"/>
      <c r="AD81" s="12">
        <f t="shared" si="17"/>
        <v>6325.36</v>
      </c>
      <c r="AE81" s="13">
        <f t="shared" si="18"/>
        <v>0</v>
      </c>
      <c r="AF81" s="14">
        <f t="shared" si="19"/>
        <v>0</v>
      </c>
      <c r="AG81" s="13">
        <f t="shared" si="20"/>
        <v>15.49</v>
      </c>
      <c r="AH81" s="13">
        <f t="shared" si="21"/>
        <v>1.08</v>
      </c>
      <c r="AI81" s="13">
        <f t="shared" si="22"/>
        <v>0.46</v>
      </c>
      <c r="AJ81" s="13">
        <f t="shared" si="23"/>
        <v>0.31</v>
      </c>
      <c r="AK81" s="13">
        <f t="shared" si="24"/>
        <v>0</v>
      </c>
      <c r="AL81" s="13">
        <f t="shared" si="25"/>
        <v>0</v>
      </c>
      <c r="AM81" s="13">
        <f t="shared" si="26"/>
        <v>15.49</v>
      </c>
      <c r="AN81" s="13">
        <f t="shared" si="27"/>
        <v>1.08</v>
      </c>
      <c r="AO81" s="13">
        <f t="shared" si="28"/>
        <v>0.46</v>
      </c>
      <c r="AP81" s="13">
        <f t="shared" si="29"/>
        <v>0.31</v>
      </c>
      <c r="AQ81" s="13" t="str">
        <f t="shared" si="30"/>
        <v>TJ202512081004000336880</v>
      </c>
      <c r="AR81" s="13">
        <f t="shared" si="31"/>
        <v>0.05</v>
      </c>
    </row>
    <row r="82" spans="1:44">
      <c r="A82" s="12" t="s">
        <v>185</v>
      </c>
      <c r="B82" s="12" t="s">
        <v>186</v>
      </c>
      <c r="C82" s="12" t="s">
        <v>120</v>
      </c>
      <c r="D82" s="12" t="s">
        <v>121</v>
      </c>
      <c r="E82" s="12" t="s">
        <v>48</v>
      </c>
      <c r="F82" s="5">
        <f>ROUND(SUMIF([1]开票!$A$2:$A$1750,[1]申请!AQ82,[1]开票!$C$2:$C$1750),2)</f>
        <v>76.19</v>
      </c>
      <c r="G82" s="5">
        <f>ROUND(SUMIF([1]开票!$A$2:$A$1750,[1]申请!AQ82,[1]开票!$D$2:$D$1750),2)</f>
        <v>13755.36</v>
      </c>
      <c r="H82" s="5">
        <f>ROUND(SUMIF([1]开票!$A$2:$A$1750,[1]申请!AQ82,[1]开票!$E$2:$E$1750),2)</f>
        <v>3.81</v>
      </c>
      <c r="I82" s="5">
        <f t="shared" si="16"/>
        <v>13835.36</v>
      </c>
      <c r="J82" s="12"/>
      <c r="K82" s="12">
        <v>80</v>
      </c>
      <c r="L82" s="12"/>
      <c r="M82" s="12"/>
      <c r="N82" s="12"/>
      <c r="O82" s="12"/>
      <c r="P82" s="12"/>
      <c r="Q82" s="12"/>
      <c r="R82" s="12"/>
      <c r="S82" s="12">
        <v>7677.2</v>
      </c>
      <c r="T82" s="12">
        <v>82.8</v>
      </c>
      <c r="U82" s="12">
        <v>3550</v>
      </c>
      <c r="V82" s="12">
        <v>2400</v>
      </c>
      <c r="W82" s="12"/>
      <c r="X82" s="12">
        <v>45.36</v>
      </c>
      <c r="Y82" s="12"/>
      <c r="Z82" s="12"/>
      <c r="AA82" s="12"/>
      <c r="AB82" s="12"/>
      <c r="AC82" s="12"/>
      <c r="AD82" s="12">
        <f t="shared" si="17"/>
        <v>13835.36</v>
      </c>
      <c r="AE82" s="13">
        <f t="shared" si="18"/>
        <v>0</v>
      </c>
      <c r="AF82" s="14">
        <f t="shared" si="19"/>
        <v>0</v>
      </c>
      <c r="AG82" s="13">
        <f t="shared" si="20"/>
        <v>3.81</v>
      </c>
      <c r="AH82" s="13">
        <f t="shared" si="21"/>
        <v>0.27</v>
      </c>
      <c r="AI82" s="13">
        <f t="shared" si="22"/>
        <v>0.11</v>
      </c>
      <c r="AJ82" s="13">
        <f t="shared" si="23"/>
        <v>0.08</v>
      </c>
      <c r="AK82" s="13">
        <f t="shared" si="24"/>
        <v>0</v>
      </c>
      <c r="AL82" s="13">
        <f t="shared" si="25"/>
        <v>0</v>
      </c>
      <c r="AM82" s="13">
        <f t="shared" si="26"/>
        <v>3.81</v>
      </c>
      <c r="AN82" s="13">
        <f t="shared" si="27"/>
        <v>0.27</v>
      </c>
      <c r="AO82" s="13">
        <f t="shared" si="28"/>
        <v>0.11</v>
      </c>
      <c r="AP82" s="13">
        <f t="shared" si="29"/>
        <v>0.08</v>
      </c>
      <c r="AQ82" s="13" t="str">
        <f t="shared" si="30"/>
        <v>TJ202512081040000217346</v>
      </c>
      <c r="AR82" s="13">
        <f t="shared" si="31"/>
        <v>0.05</v>
      </c>
    </row>
    <row r="83" spans="1:44">
      <c r="A83" s="12" t="s">
        <v>187</v>
      </c>
      <c r="B83" s="12" t="s">
        <v>179</v>
      </c>
      <c r="C83" s="12" t="s">
        <v>54</v>
      </c>
      <c r="D83" s="12" t="s">
        <v>47</v>
      </c>
      <c r="E83" s="12" t="s">
        <v>51</v>
      </c>
      <c r="F83" s="5">
        <f>ROUND(SUMIF([1]开票!$A$2:$A$1750,[1]申请!AQ83,[1]开票!$C$2:$C$1750),2)</f>
        <v>11120.94</v>
      </c>
      <c r="G83" s="5">
        <f>ROUND(SUMIF([1]开票!$A$2:$A$1750,[1]申请!AQ83,[1]开票!$D$2:$D$1750),2)</f>
        <v>0</v>
      </c>
      <c r="H83" s="5">
        <f>ROUND(SUMIF([1]开票!$A$2:$A$1750,[1]申请!AQ83,[1]开票!$E$2:$E$1750),2)</f>
        <v>667.26</v>
      </c>
      <c r="I83" s="5">
        <f t="shared" si="16"/>
        <v>11788.2</v>
      </c>
      <c r="J83" s="12">
        <v>688.2</v>
      </c>
      <c r="K83" s="12"/>
      <c r="L83" s="12"/>
      <c r="M83" s="12"/>
      <c r="N83" s="12"/>
      <c r="O83" s="12"/>
      <c r="P83" s="12"/>
      <c r="Q83" s="12"/>
      <c r="R83" s="12"/>
      <c r="S83" s="12">
        <v>11100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>
        <f t="shared" si="17"/>
        <v>11788.2</v>
      </c>
      <c r="AE83" s="13">
        <f t="shared" si="18"/>
        <v>0</v>
      </c>
      <c r="AF83" s="14">
        <f t="shared" si="19"/>
        <v>0</v>
      </c>
      <c r="AG83" s="13">
        <f t="shared" si="20"/>
        <v>667.26</v>
      </c>
      <c r="AH83" s="13">
        <f t="shared" si="21"/>
        <v>46.71</v>
      </c>
      <c r="AI83" s="13">
        <f t="shared" si="22"/>
        <v>20.02</v>
      </c>
      <c r="AJ83" s="13">
        <f t="shared" si="23"/>
        <v>13.35</v>
      </c>
      <c r="AK83" s="13">
        <f t="shared" si="24"/>
        <v>0</v>
      </c>
      <c r="AL83" s="13">
        <f t="shared" si="25"/>
        <v>0</v>
      </c>
      <c r="AM83" s="13">
        <f t="shared" si="26"/>
        <v>667.26</v>
      </c>
      <c r="AN83" s="13">
        <f t="shared" si="27"/>
        <v>46.71</v>
      </c>
      <c r="AO83" s="13">
        <f t="shared" si="28"/>
        <v>20.02</v>
      </c>
      <c r="AP83" s="13">
        <f t="shared" si="29"/>
        <v>13.35</v>
      </c>
      <c r="AQ83" s="13" t="str">
        <f t="shared" si="30"/>
        <v>TJ202512081154000013734</v>
      </c>
      <c r="AR83" s="13">
        <f t="shared" si="31"/>
        <v>0.06</v>
      </c>
    </row>
    <row r="84" spans="1:44">
      <c r="A84" s="12" t="s">
        <v>188</v>
      </c>
      <c r="B84" s="12" t="s">
        <v>189</v>
      </c>
      <c r="C84" s="12" t="s">
        <v>54</v>
      </c>
      <c r="D84" s="12" t="s">
        <v>55</v>
      </c>
      <c r="E84" s="12" t="s">
        <v>51</v>
      </c>
      <c r="F84" s="5">
        <f>ROUND(SUMIF([1]开票!$A$2:$A$1750,[1]申请!AQ84,[1]开票!$C$2:$C$1750),2)</f>
        <v>423.51</v>
      </c>
      <c r="G84" s="5">
        <f>ROUND(SUMIF([1]开票!$A$2:$A$1750,[1]申请!AQ84,[1]开票!$D$2:$D$1750),2)</f>
        <v>0</v>
      </c>
      <c r="H84" s="5">
        <f>ROUND(SUMIF([1]开票!$A$2:$A$1750,[1]申请!AQ84,[1]开票!$E$2:$E$1750),2)</f>
        <v>25.41</v>
      </c>
      <c r="I84" s="5">
        <f t="shared" si="16"/>
        <v>448.92</v>
      </c>
      <c r="J84" s="12"/>
      <c r="K84" s="12"/>
      <c r="L84" s="12">
        <v>448.92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>
        <f t="shared" si="17"/>
        <v>448.92</v>
      </c>
      <c r="AE84" s="13">
        <f t="shared" si="18"/>
        <v>0</v>
      </c>
      <c r="AF84" s="14">
        <f t="shared" si="19"/>
        <v>0</v>
      </c>
      <c r="AG84" s="13">
        <f t="shared" si="20"/>
        <v>25.41</v>
      </c>
      <c r="AH84" s="13">
        <f t="shared" si="21"/>
        <v>1.78</v>
      </c>
      <c r="AI84" s="13">
        <f t="shared" si="22"/>
        <v>0.76</v>
      </c>
      <c r="AJ84" s="13">
        <f t="shared" si="23"/>
        <v>0.51</v>
      </c>
      <c r="AK84" s="13">
        <f t="shared" si="24"/>
        <v>0</v>
      </c>
      <c r="AL84" s="13">
        <f t="shared" si="25"/>
        <v>0</v>
      </c>
      <c r="AM84" s="13">
        <f t="shared" si="26"/>
        <v>25.41</v>
      </c>
      <c r="AN84" s="13">
        <f t="shared" si="27"/>
        <v>1.78</v>
      </c>
      <c r="AO84" s="13">
        <f t="shared" si="28"/>
        <v>0.76</v>
      </c>
      <c r="AP84" s="13">
        <f t="shared" si="29"/>
        <v>0.51</v>
      </c>
      <c r="AQ84" s="13" t="str">
        <f t="shared" si="30"/>
        <v>TJ202512081215000092361</v>
      </c>
      <c r="AR84" s="13">
        <f t="shared" si="31"/>
        <v>0.06</v>
      </c>
    </row>
    <row r="85" spans="1:44">
      <c r="A85" s="24" t="s">
        <v>190</v>
      </c>
      <c r="B85" s="12" t="s">
        <v>57</v>
      </c>
      <c r="C85" s="12" t="s">
        <v>54</v>
      </c>
      <c r="D85" s="12" t="s">
        <v>55</v>
      </c>
      <c r="E85" s="12" t="s">
        <v>51</v>
      </c>
      <c r="F85" s="5">
        <f>ROUND(SUMIF([1]开票!$A$2:$A$1750,[1]申请!AQ85,[1]开票!$C$2:$C$1750),2)</f>
        <v>11957.94</v>
      </c>
      <c r="G85" s="5">
        <f>ROUND(SUMIF([1]开票!$A$2:$A$1750,[1]申请!AQ85,[1]开票!$D$2:$D$1750),2)</f>
        <v>0</v>
      </c>
      <c r="H85" s="5">
        <f>ROUND(SUMIF([1]开票!$A$2:$A$1750,[1]申请!AQ85,[1]开票!$E$2:$E$1750),2)</f>
        <v>717.48</v>
      </c>
      <c r="I85" s="5">
        <f t="shared" si="16"/>
        <v>12675.42</v>
      </c>
      <c r="J85" s="12">
        <v>12675.42</v>
      </c>
      <c r="K85" s="12"/>
      <c r="L85" s="12"/>
      <c r="M85" s="12"/>
      <c r="N85" s="12"/>
      <c r="O85" s="12"/>
      <c r="P85" s="12"/>
      <c r="Q85" s="12"/>
      <c r="R85" s="12"/>
      <c r="S85" s="15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>
        <f t="shared" si="17"/>
        <v>12675.42</v>
      </c>
      <c r="AE85" s="13">
        <f t="shared" si="18"/>
        <v>0</v>
      </c>
      <c r="AF85" s="14">
        <f t="shared" si="19"/>
        <v>0</v>
      </c>
      <c r="AG85" s="13">
        <f t="shared" si="20"/>
        <v>717.48</v>
      </c>
      <c r="AH85" s="13">
        <f t="shared" si="21"/>
        <v>50.22</v>
      </c>
      <c r="AI85" s="13">
        <f t="shared" si="22"/>
        <v>21.52</v>
      </c>
      <c r="AJ85" s="13">
        <f t="shared" si="23"/>
        <v>14.35</v>
      </c>
      <c r="AK85" s="13">
        <f t="shared" si="24"/>
        <v>0</v>
      </c>
      <c r="AL85" s="13">
        <f t="shared" si="25"/>
        <v>0</v>
      </c>
      <c r="AM85" s="13">
        <f t="shared" si="26"/>
        <v>717.48</v>
      </c>
      <c r="AN85" s="13">
        <f t="shared" si="27"/>
        <v>50.22</v>
      </c>
      <c r="AO85" s="13">
        <f t="shared" si="28"/>
        <v>21.52</v>
      </c>
      <c r="AP85" s="13">
        <f t="shared" si="29"/>
        <v>14.35</v>
      </c>
      <c r="AQ85" s="13" t="str">
        <f t="shared" si="30"/>
        <v>TJ202512081253000131670</v>
      </c>
      <c r="AR85" s="13">
        <f t="shared" si="31"/>
        <v>0.06</v>
      </c>
    </row>
    <row r="86" spans="1:44">
      <c r="A86" s="12" t="s">
        <v>191</v>
      </c>
      <c r="B86" s="12" t="s">
        <v>57</v>
      </c>
      <c r="C86" s="12" t="s">
        <v>54</v>
      </c>
      <c r="D86" s="12" t="s">
        <v>55</v>
      </c>
      <c r="E86" s="12" t="s">
        <v>51</v>
      </c>
      <c r="F86" s="5">
        <f>ROUND(SUMIF([1]开票!$A$2:$A$1750,[1]申请!AQ86,[1]开票!$C$2:$C$1750),2)</f>
        <v>21334.82</v>
      </c>
      <c r="G86" s="5">
        <f>ROUND(SUMIF([1]开票!$A$2:$A$1750,[1]申请!AQ86,[1]开票!$D$2:$D$1750),2)</f>
        <v>0</v>
      </c>
      <c r="H86" s="5">
        <f>ROUND(SUMIF([1]开票!$A$2:$A$1750,[1]申请!AQ86,[1]开票!$E$2:$E$1750),2)</f>
        <v>1280.09</v>
      </c>
      <c r="I86" s="5">
        <f t="shared" si="16"/>
        <v>22614.91</v>
      </c>
      <c r="J86" s="12">
        <v>22614.91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>
        <f t="shared" si="17"/>
        <v>22614.91</v>
      </c>
      <c r="AE86" s="13">
        <f t="shared" si="18"/>
        <v>0</v>
      </c>
      <c r="AF86" s="14">
        <f t="shared" si="19"/>
        <v>0</v>
      </c>
      <c r="AG86" s="13">
        <f t="shared" si="20"/>
        <v>1280.09</v>
      </c>
      <c r="AH86" s="13">
        <f t="shared" si="21"/>
        <v>89.61</v>
      </c>
      <c r="AI86" s="13">
        <f t="shared" si="22"/>
        <v>38.4</v>
      </c>
      <c r="AJ86" s="13">
        <f t="shared" si="23"/>
        <v>25.6</v>
      </c>
      <c r="AK86" s="13">
        <f t="shared" si="24"/>
        <v>0</v>
      </c>
      <c r="AL86" s="13">
        <f t="shared" si="25"/>
        <v>0</v>
      </c>
      <c r="AM86" s="13">
        <f t="shared" si="26"/>
        <v>1280.09</v>
      </c>
      <c r="AN86" s="13">
        <f t="shared" si="27"/>
        <v>89.61</v>
      </c>
      <c r="AO86" s="13">
        <f t="shared" si="28"/>
        <v>38.4</v>
      </c>
      <c r="AP86" s="13">
        <f t="shared" si="29"/>
        <v>25.6</v>
      </c>
      <c r="AQ86" s="13" t="str">
        <f t="shared" si="30"/>
        <v>TJ202512081255000016499</v>
      </c>
      <c r="AR86" s="13">
        <f t="shared" si="31"/>
        <v>0.06</v>
      </c>
    </row>
    <row r="87" spans="1:44">
      <c r="A87" s="12" t="s">
        <v>192</v>
      </c>
      <c r="B87" s="12" t="s">
        <v>57</v>
      </c>
      <c r="C87" s="12" t="s">
        <v>54</v>
      </c>
      <c r="D87" s="12" t="s">
        <v>55</v>
      </c>
      <c r="E87" s="12" t="s">
        <v>51</v>
      </c>
      <c r="F87" s="5">
        <f>ROUND(SUMIF([1]开票!$A$2:$A$1750,[1]申请!AQ87,[1]开票!$C$2:$C$1750),2)</f>
        <v>5067.93</v>
      </c>
      <c r="G87" s="5">
        <f>ROUND(SUMIF([1]开票!$A$2:$A$1750,[1]申请!AQ87,[1]开票!$D$2:$D$1750),2)</f>
        <v>0</v>
      </c>
      <c r="H87" s="5">
        <f>ROUND(SUMIF([1]开票!$A$2:$A$1750,[1]申请!AQ87,[1]开票!$E$2:$E$1750),2)</f>
        <v>304.08</v>
      </c>
      <c r="I87" s="5">
        <f t="shared" si="16"/>
        <v>5372.01</v>
      </c>
      <c r="J87" s="12">
        <v>5372.01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>
        <f t="shared" si="17"/>
        <v>5372.01</v>
      </c>
      <c r="AE87" s="13">
        <f t="shared" si="18"/>
        <v>0</v>
      </c>
      <c r="AF87" s="14">
        <f t="shared" si="19"/>
        <v>0</v>
      </c>
      <c r="AG87" s="13">
        <f t="shared" si="20"/>
        <v>304.08</v>
      </c>
      <c r="AH87" s="13">
        <f t="shared" si="21"/>
        <v>21.29</v>
      </c>
      <c r="AI87" s="13">
        <f t="shared" si="22"/>
        <v>9.12</v>
      </c>
      <c r="AJ87" s="13">
        <f t="shared" si="23"/>
        <v>6.08</v>
      </c>
      <c r="AK87" s="13">
        <f t="shared" si="24"/>
        <v>0</v>
      </c>
      <c r="AL87" s="13">
        <f t="shared" si="25"/>
        <v>0</v>
      </c>
      <c r="AM87" s="13">
        <f t="shared" si="26"/>
        <v>304.08</v>
      </c>
      <c r="AN87" s="13">
        <f t="shared" si="27"/>
        <v>21.29</v>
      </c>
      <c r="AO87" s="13">
        <f t="shared" si="28"/>
        <v>9.12</v>
      </c>
      <c r="AP87" s="13">
        <f t="shared" si="29"/>
        <v>6.08</v>
      </c>
      <c r="AQ87" s="13" t="str">
        <f t="shared" si="30"/>
        <v>TJ202512081258000066546</v>
      </c>
      <c r="AR87" s="13">
        <f t="shared" si="31"/>
        <v>0.06</v>
      </c>
    </row>
    <row r="88" spans="1:44">
      <c r="A88" s="12" t="s">
        <v>193</v>
      </c>
      <c r="B88" s="12" t="s">
        <v>57</v>
      </c>
      <c r="C88" s="12" t="s">
        <v>54</v>
      </c>
      <c r="D88" s="12" t="s">
        <v>55</v>
      </c>
      <c r="E88" s="12" t="s">
        <v>51</v>
      </c>
      <c r="F88" s="5">
        <f>ROUND(SUMIF([1]开票!$A$2:$A$1750,[1]申请!AQ88,[1]开票!$C$2:$C$1750),2)</f>
        <v>21394.49</v>
      </c>
      <c r="G88" s="5">
        <f>ROUND(SUMIF([1]开票!$A$2:$A$1750,[1]申请!AQ88,[1]开票!$D$2:$D$1750),2)</f>
        <v>0</v>
      </c>
      <c r="H88" s="5">
        <f>ROUND(SUMIF([1]开票!$A$2:$A$1750,[1]申请!AQ88,[1]开票!$E$2:$E$1750),2)</f>
        <v>1283.67</v>
      </c>
      <c r="I88" s="5">
        <f t="shared" si="16"/>
        <v>22678.16</v>
      </c>
      <c r="J88" s="12">
        <v>22678.16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>
        <f t="shared" si="17"/>
        <v>22678.16</v>
      </c>
      <c r="AE88" s="13">
        <f t="shared" si="18"/>
        <v>0</v>
      </c>
      <c r="AF88" s="14">
        <f t="shared" si="19"/>
        <v>0</v>
      </c>
      <c r="AG88" s="13">
        <f t="shared" si="20"/>
        <v>1283.67</v>
      </c>
      <c r="AH88" s="13">
        <f t="shared" si="21"/>
        <v>89.86</v>
      </c>
      <c r="AI88" s="13">
        <f t="shared" si="22"/>
        <v>38.51</v>
      </c>
      <c r="AJ88" s="13">
        <f t="shared" si="23"/>
        <v>25.67</v>
      </c>
      <c r="AK88" s="13">
        <f t="shared" si="24"/>
        <v>0</v>
      </c>
      <c r="AL88" s="13">
        <f t="shared" si="25"/>
        <v>0</v>
      </c>
      <c r="AM88" s="13">
        <f t="shared" si="26"/>
        <v>1283.67</v>
      </c>
      <c r="AN88" s="13">
        <f t="shared" si="27"/>
        <v>89.86</v>
      </c>
      <c r="AO88" s="13">
        <f t="shared" si="28"/>
        <v>38.51</v>
      </c>
      <c r="AP88" s="13">
        <f t="shared" si="29"/>
        <v>25.67</v>
      </c>
      <c r="AQ88" s="13" t="str">
        <f t="shared" si="30"/>
        <v>TJ202512081258000548378</v>
      </c>
      <c r="AR88" s="13">
        <f t="shared" si="31"/>
        <v>0.06</v>
      </c>
    </row>
    <row r="89" spans="1:44">
      <c r="A89" s="12" t="s">
        <v>194</v>
      </c>
      <c r="B89" s="12" t="s">
        <v>195</v>
      </c>
      <c r="C89" s="12" t="s">
        <v>54</v>
      </c>
      <c r="D89" s="12" t="s">
        <v>55</v>
      </c>
      <c r="E89" s="12" t="s">
        <v>51</v>
      </c>
      <c r="F89" s="5">
        <f>ROUND(SUMIF([1]开票!$A$2:$A$1750,[1]申请!AQ89,[1]开票!$C$2:$C$1750),2)</f>
        <v>279121.7</v>
      </c>
      <c r="G89" s="5">
        <f>ROUND(SUMIF([1]开票!$A$2:$A$1750,[1]申请!AQ89,[1]开票!$D$2:$D$1750),2)</f>
        <v>0</v>
      </c>
      <c r="H89" s="5">
        <f>ROUND(SUMIF([1]开票!$A$2:$A$1750,[1]申请!AQ89,[1]开票!$E$2:$E$1750),2)</f>
        <v>16747.3</v>
      </c>
      <c r="I89" s="5">
        <f t="shared" si="16"/>
        <v>295869</v>
      </c>
      <c r="J89" s="12"/>
      <c r="K89" s="12"/>
      <c r="L89" s="12">
        <v>295869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>
        <f t="shared" si="17"/>
        <v>295869</v>
      </c>
      <c r="AE89" s="13">
        <f t="shared" si="18"/>
        <v>0</v>
      </c>
      <c r="AF89" s="14">
        <f t="shared" si="19"/>
        <v>0</v>
      </c>
      <c r="AG89" s="13">
        <f t="shared" si="20"/>
        <v>16747.3</v>
      </c>
      <c r="AH89" s="13">
        <f t="shared" si="21"/>
        <v>1172.31</v>
      </c>
      <c r="AI89" s="13">
        <f t="shared" si="22"/>
        <v>502.42</v>
      </c>
      <c r="AJ89" s="13">
        <f t="shared" si="23"/>
        <v>334.95</v>
      </c>
      <c r="AK89" s="13">
        <f t="shared" si="24"/>
        <v>0</v>
      </c>
      <c r="AL89" s="13">
        <f t="shared" si="25"/>
        <v>0</v>
      </c>
      <c r="AM89" s="13">
        <f t="shared" si="26"/>
        <v>16747.3</v>
      </c>
      <c r="AN89" s="13">
        <f t="shared" si="27"/>
        <v>1172.31</v>
      </c>
      <c r="AO89" s="13">
        <f t="shared" si="28"/>
        <v>502.42</v>
      </c>
      <c r="AP89" s="13">
        <f t="shared" si="29"/>
        <v>334.95</v>
      </c>
      <c r="AQ89" s="13" t="str">
        <f t="shared" si="30"/>
        <v>TJ202512081324000225196</v>
      </c>
      <c r="AR89" s="13">
        <f t="shared" si="31"/>
        <v>0.06</v>
      </c>
    </row>
    <row r="90" spans="1:44">
      <c r="A90" s="12" t="s">
        <v>196</v>
      </c>
      <c r="B90" s="12" t="s">
        <v>197</v>
      </c>
      <c r="C90" s="12" t="s">
        <v>54</v>
      </c>
      <c r="D90" s="12" t="s">
        <v>55</v>
      </c>
      <c r="E90" s="12" t="s">
        <v>51</v>
      </c>
      <c r="F90" s="5">
        <f>ROUND(SUMIF([1]开票!$A$2:$A$1750,[1]申请!AQ90,[1]开票!$C$2:$C$1750),2)</f>
        <v>217781.77</v>
      </c>
      <c r="G90" s="5">
        <f>ROUND(SUMIF([1]开票!$A$2:$A$1750,[1]申请!AQ90,[1]开票!$D$2:$D$1750),2)</f>
        <v>0</v>
      </c>
      <c r="H90" s="5">
        <f>ROUND(SUMIF([1]开票!$A$2:$A$1750,[1]申请!AQ90,[1]开票!$E$2:$E$1750),2)</f>
        <v>13066.91</v>
      </c>
      <c r="I90" s="5">
        <f t="shared" si="16"/>
        <v>230848.68</v>
      </c>
      <c r="J90" s="12"/>
      <c r="K90" s="12"/>
      <c r="L90" s="12">
        <v>230848.68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>
        <f t="shared" si="17"/>
        <v>230848.68</v>
      </c>
      <c r="AE90" s="13">
        <f t="shared" si="18"/>
        <v>0</v>
      </c>
      <c r="AF90" s="14">
        <f t="shared" si="19"/>
        <v>0</v>
      </c>
      <c r="AG90" s="13">
        <f t="shared" si="20"/>
        <v>13066.91</v>
      </c>
      <c r="AH90" s="13">
        <f t="shared" si="21"/>
        <v>914.68</v>
      </c>
      <c r="AI90" s="13">
        <f t="shared" si="22"/>
        <v>392.01</v>
      </c>
      <c r="AJ90" s="13">
        <f t="shared" si="23"/>
        <v>261.34</v>
      </c>
      <c r="AK90" s="13">
        <f t="shared" si="24"/>
        <v>0</v>
      </c>
      <c r="AL90" s="13">
        <f t="shared" si="25"/>
        <v>0</v>
      </c>
      <c r="AM90" s="13">
        <f t="shared" si="26"/>
        <v>13066.91</v>
      </c>
      <c r="AN90" s="13">
        <f t="shared" si="27"/>
        <v>914.68</v>
      </c>
      <c r="AO90" s="13">
        <f t="shared" si="28"/>
        <v>392.01</v>
      </c>
      <c r="AP90" s="13">
        <f t="shared" si="29"/>
        <v>261.34</v>
      </c>
      <c r="AQ90" s="13" t="str">
        <f t="shared" si="30"/>
        <v>TJ202512081331000231105</v>
      </c>
      <c r="AR90" s="13">
        <f t="shared" si="31"/>
        <v>0.06</v>
      </c>
    </row>
    <row r="91" spans="1:44">
      <c r="A91" s="12" t="s">
        <v>198</v>
      </c>
      <c r="B91" s="12" t="s">
        <v>189</v>
      </c>
      <c r="C91" s="12" t="s">
        <v>54</v>
      </c>
      <c r="D91" s="12" t="s">
        <v>55</v>
      </c>
      <c r="E91" s="12" t="s">
        <v>51</v>
      </c>
      <c r="F91" s="5">
        <f>ROUND(SUMIF([1]开票!$A$2:$A$1750,[1]申请!AQ91,[1]开票!$C$2:$C$1750),2)</f>
        <v>1859.01</v>
      </c>
      <c r="G91" s="5">
        <f>ROUND(SUMIF([1]开票!$A$2:$A$1750,[1]申请!AQ91,[1]开票!$D$2:$D$1750),2)</f>
        <v>0</v>
      </c>
      <c r="H91" s="5">
        <f>ROUND(SUMIF([1]开票!$A$2:$A$1750,[1]申请!AQ91,[1]开票!$E$2:$E$1750),2)</f>
        <v>111.54</v>
      </c>
      <c r="I91" s="5">
        <f t="shared" si="16"/>
        <v>1970.55</v>
      </c>
      <c r="J91" s="12"/>
      <c r="K91" s="12"/>
      <c r="L91" s="12">
        <v>1970.55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>
        <f t="shared" si="17"/>
        <v>1970.55</v>
      </c>
      <c r="AE91" s="13">
        <f t="shared" si="18"/>
        <v>0</v>
      </c>
      <c r="AF91" s="14">
        <f t="shared" si="19"/>
        <v>0</v>
      </c>
      <c r="AG91" s="13">
        <f t="shared" si="20"/>
        <v>111.54</v>
      </c>
      <c r="AH91" s="13">
        <f t="shared" si="21"/>
        <v>7.81</v>
      </c>
      <c r="AI91" s="13">
        <f t="shared" si="22"/>
        <v>3.35</v>
      </c>
      <c r="AJ91" s="13">
        <f t="shared" si="23"/>
        <v>2.23</v>
      </c>
      <c r="AK91" s="13">
        <f t="shared" si="24"/>
        <v>0</v>
      </c>
      <c r="AL91" s="13">
        <f t="shared" si="25"/>
        <v>0</v>
      </c>
      <c r="AM91" s="13">
        <f t="shared" si="26"/>
        <v>111.54</v>
      </c>
      <c r="AN91" s="13">
        <f t="shared" si="27"/>
        <v>7.81</v>
      </c>
      <c r="AO91" s="13">
        <f t="shared" si="28"/>
        <v>3.35</v>
      </c>
      <c r="AP91" s="13">
        <f t="shared" si="29"/>
        <v>2.23</v>
      </c>
      <c r="AQ91" s="13" t="str">
        <f t="shared" si="30"/>
        <v>TJ202512081346000361440</v>
      </c>
      <c r="AR91" s="13">
        <f t="shared" si="31"/>
        <v>0.06</v>
      </c>
    </row>
    <row r="92" spans="1:44">
      <c r="A92" s="12" t="s">
        <v>199</v>
      </c>
      <c r="B92" s="12" t="s">
        <v>200</v>
      </c>
      <c r="C92" s="12" t="s">
        <v>54</v>
      </c>
      <c r="D92" s="12" t="s">
        <v>55</v>
      </c>
      <c r="E92" s="12" t="s">
        <v>51</v>
      </c>
      <c r="F92" s="5">
        <f>ROUND(SUMIF([1]开票!$A$2:$A$1750,[1]申请!AQ92,[1]开票!$C$2:$C$1750),2)</f>
        <v>29476.42</v>
      </c>
      <c r="G92" s="5">
        <f>ROUND(SUMIF([1]开票!$A$2:$A$1750,[1]申请!AQ92,[1]开票!$D$2:$D$1750),2)</f>
        <v>0</v>
      </c>
      <c r="H92" s="5">
        <f>ROUND(SUMIF([1]开票!$A$2:$A$1750,[1]申请!AQ92,[1]开票!$E$2:$E$1750),2)</f>
        <v>1768.59</v>
      </c>
      <c r="I92" s="5">
        <f t="shared" si="16"/>
        <v>31245.01</v>
      </c>
      <c r="J92" s="12"/>
      <c r="K92" s="12"/>
      <c r="L92" s="12">
        <v>31245.01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>
        <f t="shared" si="17"/>
        <v>31245.01</v>
      </c>
      <c r="AE92" s="13">
        <f t="shared" si="18"/>
        <v>0</v>
      </c>
      <c r="AF92" s="14">
        <f t="shared" si="19"/>
        <v>0</v>
      </c>
      <c r="AG92" s="13">
        <f t="shared" si="20"/>
        <v>1768.59</v>
      </c>
      <c r="AH92" s="13">
        <f t="shared" si="21"/>
        <v>123.8</v>
      </c>
      <c r="AI92" s="13">
        <f t="shared" si="22"/>
        <v>53.06</v>
      </c>
      <c r="AJ92" s="13">
        <f t="shared" si="23"/>
        <v>35.37</v>
      </c>
      <c r="AK92" s="13">
        <f t="shared" si="24"/>
        <v>0</v>
      </c>
      <c r="AL92" s="13">
        <f t="shared" si="25"/>
        <v>0</v>
      </c>
      <c r="AM92" s="13">
        <f t="shared" si="26"/>
        <v>1768.59</v>
      </c>
      <c r="AN92" s="13">
        <f t="shared" si="27"/>
        <v>123.8</v>
      </c>
      <c r="AO92" s="13">
        <f t="shared" si="28"/>
        <v>53.06</v>
      </c>
      <c r="AP92" s="13">
        <f t="shared" si="29"/>
        <v>35.37</v>
      </c>
      <c r="AQ92" s="13" t="str">
        <f t="shared" si="30"/>
        <v>TJ202512081404000149666</v>
      </c>
      <c r="AR92" s="13">
        <f t="shared" si="31"/>
        <v>0.06</v>
      </c>
    </row>
    <row r="93" spans="1:44">
      <c r="A93" s="18" t="s">
        <v>201</v>
      </c>
      <c r="B93" s="12" t="s">
        <v>202</v>
      </c>
      <c r="C93" s="12" t="s">
        <v>54</v>
      </c>
      <c r="D93" s="12" t="s">
        <v>55</v>
      </c>
      <c r="E93" s="12" t="s">
        <v>51</v>
      </c>
      <c r="F93" s="5">
        <f>ROUND(SUMIF([1]开票!$A$2:$A$1750,[1]申请!AQ93,[1]开票!$C$2:$C$1750),2)</f>
        <v>36000.85</v>
      </c>
      <c r="G93" s="5">
        <f>ROUND(SUMIF([1]开票!$A$2:$A$1750,[1]申请!AQ93,[1]开票!$D$2:$D$1750),2)</f>
        <v>0</v>
      </c>
      <c r="H93" s="5">
        <f>ROUND(SUMIF([1]开票!$A$2:$A$1750,[1]申请!AQ93,[1]开票!$E$2:$E$1750),2)</f>
        <v>2160.05</v>
      </c>
      <c r="I93" s="5">
        <f t="shared" si="16"/>
        <v>38160.9</v>
      </c>
      <c r="J93" s="12"/>
      <c r="K93" s="12"/>
      <c r="L93" s="15">
        <v>38160.9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21"/>
      <c r="AB93" s="12"/>
      <c r="AC93" s="12"/>
      <c r="AD93" s="12">
        <f t="shared" si="17"/>
        <v>38160.9</v>
      </c>
      <c r="AE93" s="13">
        <f t="shared" si="18"/>
        <v>0</v>
      </c>
      <c r="AF93" s="14">
        <f t="shared" si="19"/>
        <v>0</v>
      </c>
      <c r="AG93" s="13">
        <f t="shared" si="20"/>
        <v>2160.05</v>
      </c>
      <c r="AH93" s="13">
        <f t="shared" si="21"/>
        <v>151.2</v>
      </c>
      <c r="AI93" s="13">
        <f t="shared" si="22"/>
        <v>64.8</v>
      </c>
      <c r="AJ93" s="13">
        <f t="shared" si="23"/>
        <v>43.2</v>
      </c>
      <c r="AK93" s="13">
        <f t="shared" si="24"/>
        <v>0</v>
      </c>
      <c r="AL93" s="13">
        <f t="shared" si="25"/>
        <v>0</v>
      </c>
      <c r="AM93" s="13">
        <f t="shared" si="26"/>
        <v>2160.05</v>
      </c>
      <c r="AN93" s="13">
        <f t="shared" si="27"/>
        <v>151.2</v>
      </c>
      <c r="AO93" s="13">
        <f t="shared" si="28"/>
        <v>64.8</v>
      </c>
      <c r="AP93" s="13">
        <f t="shared" si="29"/>
        <v>43.2</v>
      </c>
      <c r="AQ93" s="13" t="str">
        <f t="shared" si="30"/>
        <v>TJ202512081407000571281</v>
      </c>
      <c r="AR93" s="13">
        <f t="shared" si="31"/>
        <v>0.06</v>
      </c>
    </row>
    <row r="94" spans="1:44">
      <c r="A94" s="18" t="s">
        <v>203</v>
      </c>
      <c r="B94" s="12" t="s">
        <v>204</v>
      </c>
      <c r="C94" s="12" t="s">
        <v>54</v>
      </c>
      <c r="D94" s="12" t="s">
        <v>55</v>
      </c>
      <c r="E94" s="12" t="s">
        <v>51</v>
      </c>
      <c r="F94" s="5">
        <f>ROUND(SUMIF([1]开票!$A$2:$A$1750,[1]申请!AQ94,[1]开票!$C$2:$C$1750),2)</f>
        <v>16137.92</v>
      </c>
      <c r="G94" s="5">
        <f>ROUND(SUMIF([1]开票!$A$2:$A$1750,[1]申请!AQ94,[1]开票!$D$2:$D$1750),2)</f>
        <v>0</v>
      </c>
      <c r="H94" s="5">
        <f>ROUND(SUMIF([1]开票!$A$2:$A$1750,[1]申请!AQ94,[1]开票!$E$2:$E$1750),2)</f>
        <v>968.28</v>
      </c>
      <c r="I94" s="5">
        <f t="shared" si="16"/>
        <v>17106.2</v>
      </c>
      <c r="J94" s="12">
        <v>200</v>
      </c>
      <c r="K94" s="12"/>
      <c r="L94" s="12"/>
      <c r="M94" s="12"/>
      <c r="N94" s="12"/>
      <c r="O94" s="12"/>
      <c r="P94" s="12"/>
      <c r="Q94" s="12"/>
      <c r="R94" s="12"/>
      <c r="S94" s="12">
        <v>9550.4</v>
      </c>
      <c r="T94" s="12">
        <v>505.6</v>
      </c>
      <c r="U94" s="12">
        <v>3348</v>
      </c>
      <c r="V94" s="12">
        <v>2400</v>
      </c>
      <c r="W94" s="12"/>
      <c r="X94" s="12">
        <v>25.05</v>
      </c>
      <c r="Y94" s="12">
        <v>1077.15</v>
      </c>
      <c r="Z94" s="12"/>
      <c r="AA94" s="21"/>
      <c r="AB94" s="12"/>
      <c r="AC94" s="12"/>
      <c r="AD94" s="12">
        <f t="shared" si="17"/>
        <v>17106.2</v>
      </c>
      <c r="AE94" s="13">
        <f t="shared" si="18"/>
        <v>0</v>
      </c>
      <c r="AF94" s="14">
        <f t="shared" si="19"/>
        <v>0</v>
      </c>
      <c r="AG94" s="13">
        <f t="shared" si="20"/>
        <v>968.28</v>
      </c>
      <c r="AH94" s="13">
        <f t="shared" si="21"/>
        <v>67.78</v>
      </c>
      <c r="AI94" s="13">
        <f t="shared" si="22"/>
        <v>29.05</v>
      </c>
      <c r="AJ94" s="13">
        <f t="shared" si="23"/>
        <v>19.37</v>
      </c>
      <c r="AK94" s="13">
        <f t="shared" si="24"/>
        <v>961.741071428571</v>
      </c>
      <c r="AL94" s="13">
        <f t="shared" si="25"/>
        <v>115.41</v>
      </c>
      <c r="AM94" s="13">
        <f t="shared" si="26"/>
        <v>6.54</v>
      </c>
      <c r="AN94" s="13">
        <f t="shared" si="27"/>
        <v>0.46</v>
      </c>
      <c r="AO94" s="13">
        <f t="shared" si="28"/>
        <v>0.2</v>
      </c>
      <c r="AP94" s="13">
        <f t="shared" si="29"/>
        <v>0.13</v>
      </c>
      <c r="AQ94" s="13" t="str">
        <f t="shared" si="30"/>
        <v>TJ202512081442000167995</v>
      </c>
      <c r="AR94" s="13">
        <f t="shared" si="31"/>
        <v>0.06</v>
      </c>
    </row>
    <row r="95" spans="1:44">
      <c r="A95" s="12" t="s">
        <v>205</v>
      </c>
      <c r="B95" s="12" t="s">
        <v>59</v>
      </c>
      <c r="C95" s="12" t="s">
        <v>54</v>
      </c>
      <c r="D95" s="12" t="s">
        <v>60</v>
      </c>
      <c r="E95" s="12" t="s">
        <v>51</v>
      </c>
      <c r="F95" s="5">
        <f>ROUND(SUMIF([1]开票!$A$2:$A$1750,[1]申请!AQ95,[1]开票!$C$2:$C$1750),2)</f>
        <v>807.55</v>
      </c>
      <c r="G95" s="5">
        <f>ROUND(SUMIF([1]开票!$A$2:$A$1750,[1]申请!AQ95,[1]开票!$D$2:$D$1750),2)</f>
        <v>0</v>
      </c>
      <c r="H95" s="5">
        <f>ROUND(SUMIF([1]开票!$A$2:$A$1750,[1]申请!AQ95,[1]开票!$E$2:$E$1750),2)</f>
        <v>48.45</v>
      </c>
      <c r="I95" s="5">
        <f t="shared" si="16"/>
        <v>856</v>
      </c>
      <c r="J95" s="12"/>
      <c r="K95" s="12"/>
      <c r="L95" s="12"/>
      <c r="M95" s="12"/>
      <c r="N95" s="12"/>
      <c r="O95" s="12"/>
      <c r="P95" s="12"/>
      <c r="Q95" s="12">
        <v>56</v>
      </c>
      <c r="R95" s="12"/>
      <c r="S95" s="12"/>
      <c r="T95" s="12"/>
      <c r="U95" s="12"/>
      <c r="V95" s="12"/>
      <c r="W95" s="12"/>
      <c r="X95" s="12"/>
      <c r="Y95" s="12"/>
      <c r="Z95" s="12">
        <v>800</v>
      </c>
      <c r="AA95" s="21"/>
      <c r="AB95" s="12"/>
      <c r="AC95" s="12"/>
      <c r="AD95" s="12">
        <f t="shared" si="17"/>
        <v>856</v>
      </c>
      <c r="AE95" s="13">
        <f t="shared" si="18"/>
        <v>0</v>
      </c>
      <c r="AF95" s="14">
        <f t="shared" si="19"/>
        <v>0</v>
      </c>
      <c r="AG95" s="13">
        <f t="shared" si="20"/>
        <v>48.45</v>
      </c>
      <c r="AH95" s="13">
        <f t="shared" si="21"/>
        <v>3.39</v>
      </c>
      <c r="AI95" s="13">
        <f t="shared" si="22"/>
        <v>1.45</v>
      </c>
      <c r="AJ95" s="13">
        <f t="shared" si="23"/>
        <v>0.97</v>
      </c>
      <c r="AK95" s="13">
        <f t="shared" si="24"/>
        <v>0</v>
      </c>
      <c r="AL95" s="13">
        <f t="shared" si="25"/>
        <v>0</v>
      </c>
      <c r="AM95" s="13">
        <f t="shared" si="26"/>
        <v>48.45</v>
      </c>
      <c r="AN95" s="13">
        <f t="shared" si="27"/>
        <v>3.39</v>
      </c>
      <c r="AO95" s="13">
        <f t="shared" si="28"/>
        <v>1.45</v>
      </c>
      <c r="AP95" s="13">
        <f t="shared" si="29"/>
        <v>0.97</v>
      </c>
      <c r="AQ95" s="13" t="str">
        <f t="shared" si="30"/>
        <v>TJ202512081503000107781</v>
      </c>
      <c r="AR95" s="13">
        <f t="shared" si="31"/>
        <v>0.06</v>
      </c>
    </row>
    <row r="96" spans="1:44">
      <c r="A96" s="12" t="s">
        <v>206</v>
      </c>
      <c r="B96" s="12" t="s">
        <v>207</v>
      </c>
      <c r="C96" s="12" t="s">
        <v>54</v>
      </c>
      <c r="D96" s="12" t="s">
        <v>55</v>
      </c>
      <c r="E96" s="12" t="s">
        <v>51</v>
      </c>
      <c r="F96" s="5">
        <f>ROUND(SUMIF([1]开票!$A$2:$A$1750,[1]申请!AQ96,[1]开票!$C$2:$C$1750),2)</f>
        <v>35517.8</v>
      </c>
      <c r="G96" s="5">
        <f>ROUND(SUMIF([1]开票!$A$2:$A$1750,[1]申请!AQ96,[1]开票!$D$2:$D$1750),2)</f>
        <v>0</v>
      </c>
      <c r="H96" s="5">
        <f>ROUND(SUMIF([1]开票!$A$2:$A$1750,[1]申请!AQ96,[1]开票!$E$2:$E$1750),2)</f>
        <v>2131.07</v>
      </c>
      <c r="I96" s="5">
        <f t="shared" si="16"/>
        <v>37648.87</v>
      </c>
      <c r="J96" s="12"/>
      <c r="K96" s="12"/>
      <c r="L96" s="12">
        <v>37648.87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21"/>
      <c r="AB96" s="12"/>
      <c r="AC96" s="12"/>
      <c r="AD96" s="12">
        <f t="shared" si="17"/>
        <v>37648.87</v>
      </c>
      <c r="AE96" s="13">
        <f t="shared" si="18"/>
        <v>0</v>
      </c>
      <c r="AF96" s="14">
        <f t="shared" si="19"/>
        <v>0</v>
      </c>
      <c r="AG96" s="13">
        <f t="shared" si="20"/>
        <v>2131.07</v>
      </c>
      <c r="AH96" s="13">
        <f t="shared" si="21"/>
        <v>149.17</v>
      </c>
      <c r="AI96" s="13">
        <f t="shared" si="22"/>
        <v>63.93</v>
      </c>
      <c r="AJ96" s="13">
        <f t="shared" si="23"/>
        <v>42.62</v>
      </c>
      <c r="AK96" s="13">
        <f t="shared" si="24"/>
        <v>0</v>
      </c>
      <c r="AL96" s="13">
        <f t="shared" si="25"/>
        <v>0</v>
      </c>
      <c r="AM96" s="13">
        <f t="shared" si="26"/>
        <v>2131.07</v>
      </c>
      <c r="AN96" s="13">
        <f t="shared" si="27"/>
        <v>149.17</v>
      </c>
      <c r="AO96" s="13">
        <f t="shared" si="28"/>
        <v>63.93</v>
      </c>
      <c r="AP96" s="13">
        <f t="shared" si="29"/>
        <v>42.62</v>
      </c>
      <c r="AQ96" s="13" t="str">
        <f t="shared" si="30"/>
        <v>TJ202512081504000504868</v>
      </c>
      <c r="AR96" s="13">
        <f t="shared" si="31"/>
        <v>0.06</v>
      </c>
    </row>
    <row r="97" spans="1:44">
      <c r="A97" s="12" t="s">
        <v>208</v>
      </c>
      <c r="B97" s="12" t="s">
        <v>102</v>
      </c>
      <c r="C97" s="12" t="s">
        <v>54</v>
      </c>
      <c r="D97" s="12" t="s">
        <v>55</v>
      </c>
      <c r="E97" s="12" t="s">
        <v>51</v>
      </c>
      <c r="F97" s="5">
        <f>ROUND(SUMIF([1]开票!$A$2:$A$1750,[1]申请!AQ97,[1]开票!$C$2:$C$1750),2)</f>
        <v>482042.43</v>
      </c>
      <c r="G97" s="5">
        <f>ROUND(SUMIF([1]开票!$A$2:$A$1750,[1]申请!AQ97,[1]开票!$D$2:$D$1750),2)</f>
        <v>0</v>
      </c>
      <c r="H97" s="5">
        <f>ROUND(SUMIF([1]开票!$A$2:$A$1750,[1]申请!AQ97,[1]开票!$E$2:$E$1750),2)</f>
        <v>28922.55</v>
      </c>
      <c r="I97" s="5">
        <f t="shared" si="16"/>
        <v>510964.98</v>
      </c>
      <c r="J97" s="12"/>
      <c r="K97" s="12"/>
      <c r="L97" s="12">
        <v>510964.98</v>
      </c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>
        <f t="shared" si="17"/>
        <v>510964.98</v>
      </c>
      <c r="AE97" s="13">
        <f t="shared" si="18"/>
        <v>0</v>
      </c>
      <c r="AF97" s="14">
        <f t="shared" si="19"/>
        <v>0</v>
      </c>
      <c r="AG97" s="13">
        <f t="shared" si="20"/>
        <v>28922.55</v>
      </c>
      <c r="AH97" s="13">
        <f t="shared" si="21"/>
        <v>2024.58</v>
      </c>
      <c r="AI97" s="13">
        <f t="shared" si="22"/>
        <v>867.68</v>
      </c>
      <c r="AJ97" s="13">
        <f t="shared" si="23"/>
        <v>578.45</v>
      </c>
      <c r="AK97" s="13">
        <f t="shared" si="24"/>
        <v>0</v>
      </c>
      <c r="AL97" s="13">
        <f t="shared" si="25"/>
        <v>0</v>
      </c>
      <c r="AM97" s="13">
        <f t="shared" si="26"/>
        <v>28922.55</v>
      </c>
      <c r="AN97" s="13">
        <f t="shared" si="27"/>
        <v>2024.58</v>
      </c>
      <c r="AO97" s="13">
        <f t="shared" si="28"/>
        <v>867.68</v>
      </c>
      <c r="AP97" s="13">
        <f t="shared" si="29"/>
        <v>578.45</v>
      </c>
      <c r="AQ97" s="13" t="str">
        <f t="shared" si="30"/>
        <v>TJ202512081635000576506</v>
      </c>
      <c r="AR97" s="13">
        <f t="shared" si="31"/>
        <v>0.06</v>
      </c>
    </row>
    <row r="98" spans="1:44">
      <c r="A98" s="18" t="s">
        <v>209</v>
      </c>
      <c r="B98" s="12" t="s">
        <v>210</v>
      </c>
      <c r="C98" s="12" t="s">
        <v>46</v>
      </c>
      <c r="D98" s="12" t="s">
        <v>47</v>
      </c>
      <c r="E98" s="12" t="s">
        <v>48</v>
      </c>
      <c r="F98" s="5">
        <f>ROUND(SUMIF([1]开票!$A$2:$A$1750,[1]申请!AQ98,[1]开票!$C$2:$C$1750),2)</f>
        <v>190.48</v>
      </c>
      <c r="G98" s="5">
        <f>ROUND(SUMIF([1]开票!$A$2:$A$1750,[1]申请!AQ98,[1]开票!$D$2:$D$1750),2)</f>
        <v>47854.46</v>
      </c>
      <c r="H98" s="5">
        <f>ROUND(SUMIF([1]开票!$A$2:$A$1750,[1]申请!AQ98,[1]开票!$E$2:$E$1750),2)</f>
        <v>9.52</v>
      </c>
      <c r="I98" s="5">
        <f t="shared" si="16"/>
        <v>48054.46</v>
      </c>
      <c r="J98" s="12">
        <v>200</v>
      </c>
      <c r="K98" s="12"/>
      <c r="L98" s="15"/>
      <c r="M98" s="12"/>
      <c r="N98" s="12"/>
      <c r="O98" s="12"/>
      <c r="P98" s="12"/>
      <c r="Q98" s="12"/>
      <c r="R98" s="12"/>
      <c r="S98" s="12">
        <v>27536.4</v>
      </c>
      <c r="T98" s="12">
        <v>1281.82</v>
      </c>
      <c r="U98" s="12">
        <v>13113.68</v>
      </c>
      <c r="V98" s="12">
        <v>5922.56</v>
      </c>
      <c r="W98" s="12"/>
      <c r="X98" s="12"/>
      <c r="Y98" s="12"/>
      <c r="Z98" s="12"/>
      <c r="AA98" s="12"/>
      <c r="AB98" s="12"/>
      <c r="AC98" s="12"/>
      <c r="AD98" s="12">
        <f t="shared" si="17"/>
        <v>48054.46</v>
      </c>
      <c r="AE98" s="13">
        <f t="shared" si="18"/>
        <v>0</v>
      </c>
      <c r="AF98" s="14">
        <f t="shared" si="19"/>
        <v>0</v>
      </c>
      <c r="AG98" s="13">
        <f t="shared" si="20"/>
        <v>9.52</v>
      </c>
      <c r="AH98" s="13">
        <f t="shared" si="21"/>
        <v>0.67</v>
      </c>
      <c r="AI98" s="13">
        <f t="shared" si="22"/>
        <v>0.29</v>
      </c>
      <c r="AJ98" s="13">
        <f t="shared" si="23"/>
        <v>0.19</v>
      </c>
      <c r="AK98" s="13">
        <f t="shared" si="24"/>
        <v>0</v>
      </c>
      <c r="AL98" s="13">
        <f t="shared" si="25"/>
        <v>0</v>
      </c>
      <c r="AM98" s="13">
        <f t="shared" si="26"/>
        <v>9.52</v>
      </c>
      <c r="AN98" s="13">
        <f t="shared" si="27"/>
        <v>0.67</v>
      </c>
      <c r="AO98" s="13">
        <f t="shared" si="28"/>
        <v>0.29</v>
      </c>
      <c r="AP98" s="13">
        <f t="shared" si="29"/>
        <v>0.19</v>
      </c>
      <c r="AQ98" s="13" t="str">
        <f t="shared" si="30"/>
        <v>TJ202512090906000485493</v>
      </c>
      <c r="AR98" s="13">
        <f t="shared" si="31"/>
        <v>0.05</v>
      </c>
    </row>
    <row r="99" ht="15" spans="1:44">
      <c r="A99" s="25" t="s">
        <v>211</v>
      </c>
      <c r="B99" s="12" t="s">
        <v>212</v>
      </c>
      <c r="C99" s="26" t="s">
        <v>54</v>
      </c>
      <c r="D99" s="26" t="s">
        <v>55</v>
      </c>
      <c r="E99" s="12" t="s">
        <v>51</v>
      </c>
      <c r="F99" s="5">
        <f>ROUND(SUMIF([1]开票!$A$2:$A$1750,[1]申请!AQ99,[1]开票!$C$2:$C$1750),2)</f>
        <v>20217.36</v>
      </c>
      <c r="G99" s="5">
        <f>ROUND(SUMIF([1]开票!$A$2:$A$1750,[1]申请!AQ99,[1]开票!$D$2:$D$1750),2)</f>
        <v>0</v>
      </c>
      <c r="H99" s="5">
        <f>ROUND(SUMIF([1]开票!$A$2:$A$1750,[1]申请!AQ99,[1]开票!$E$2:$E$1750),2)</f>
        <v>1213.04</v>
      </c>
      <c r="I99" s="5">
        <f t="shared" si="16"/>
        <v>21430.4</v>
      </c>
      <c r="J99" s="26"/>
      <c r="K99" s="26"/>
      <c r="L99" s="20">
        <v>21430.4</v>
      </c>
      <c r="M99" s="27"/>
      <c r="N99" s="15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12">
        <f t="shared" si="17"/>
        <v>21430.4</v>
      </c>
      <c r="AE99" s="13">
        <f t="shared" si="18"/>
        <v>0</v>
      </c>
      <c r="AF99" s="14">
        <f t="shared" si="19"/>
        <v>0</v>
      </c>
      <c r="AG99" s="13">
        <f t="shared" si="20"/>
        <v>1213.04</v>
      </c>
      <c r="AH99" s="13">
        <f t="shared" si="21"/>
        <v>84.91</v>
      </c>
      <c r="AI99" s="13">
        <f t="shared" si="22"/>
        <v>36.39</v>
      </c>
      <c r="AJ99" s="13">
        <f t="shared" si="23"/>
        <v>24.26</v>
      </c>
      <c r="AK99" s="13">
        <f t="shared" si="24"/>
        <v>0</v>
      </c>
      <c r="AL99" s="13">
        <f t="shared" si="25"/>
        <v>0</v>
      </c>
      <c r="AM99" s="13">
        <f t="shared" si="26"/>
        <v>1213.04</v>
      </c>
      <c r="AN99" s="13">
        <f t="shared" si="27"/>
        <v>84.91</v>
      </c>
      <c r="AO99" s="13">
        <f t="shared" si="28"/>
        <v>36.39</v>
      </c>
      <c r="AP99" s="13">
        <f t="shared" si="29"/>
        <v>24.26</v>
      </c>
      <c r="AQ99" s="13" t="str">
        <f t="shared" si="30"/>
        <v>TJ202512090927000176116</v>
      </c>
      <c r="AR99" s="13">
        <f t="shared" si="31"/>
        <v>0.06</v>
      </c>
    </row>
    <row r="100" spans="1:44">
      <c r="A100" s="18" t="s">
        <v>213</v>
      </c>
      <c r="B100" s="12" t="s">
        <v>214</v>
      </c>
      <c r="C100" s="12" t="s">
        <v>54</v>
      </c>
      <c r="D100" s="12" t="s">
        <v>55</v>
      </c>
      <c r="E100" s="12" t="s">
        <v>51</v>
      </c>
      <c r="F100" s="5">
        <f>ROUND(SUMIF([1]开票!$A$2:$A$1750,[1]申请!AQ100,[1]开票!$C$2:$C$1750),2)</f>
        <v>65133.56</v>
      </c>
      <c r="G100" s="5">
        <f>ROUND(SUMIF([1]开票!$A$2:$A$1750,[1]申请!AQ100,[1]开票!$D$2:$D$1750),2)</f>
        <v>0</v>
      </c>
      <c r="H100" s="5">
        <f>ROUND(SUMIF([1]开票!$A$2:$A$1750,[1]申请!AQ100,[1]开票!$E$2:$E$1750),2)</f>
        <v>3908.01</v>
      </c>
      <c r="I100" s="5">
        <f t="shared" si="16"/>
        <v>69041.57</v>
      </c>
      <c r="J100" s="12"/>
      <c r="K100" s="12"/>
      <c r="L100" s="28">
        <v>69041.57</v>
      </c>
      <c r="M100" s="12"/>
      <c r="N100" s="15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>
        <f t="shared" si="17"/>
        <v>69041.57</v>
      </c>
      <c r="AE100" s="13">
        <f t="shared" si="18"/>
        <v>0</v>
      </c>
      <c r="AF100" s="14">
        <f t="shared" si="19"/>
        <v>0</v>
      </c>
      <c r="AG100" s="13">
        <f t="shared" si="20"/>
        <v>3908.01</v>
      </c>
      <c r="AH100" s="13">
        <f t="shared" si="21"/>
        <v>273.56</v>
      </c>
      <c r="AI100" s="13">
        <f t="shared" si="22"/>
        <v>117.24</v>
      </c>
      <c r="AJ100" s="13">
        <f t="shared" si="23"/>
        <v>78.16</v>
      </c>
      <c r="AK100" s="13">
        <f t="shared" si="24"/>
        <v>0</v>
      </c>
      <c r="AL100" s="13">
        <f t="shared" si="25"/>
        <v>0</v>
      </c>
      <c r="AM100" s="13">
        <f t="shared" si="26"/>
        <v>3908.01</v>
      </c>
      <c r="AN100" s="13">
        <f t="shared" si="27"/>
        <v>273.56</v>
      </c>
      <c r="AO100" s="13">
        <f t="shared" si="28"/>
        <v>117.24</v>
      </c>
      <c r="AP100" s="13">
        <f t="shared" si="29"/>
        <v>78.16</v>
      </c>
      <c r="AQ100" s="13" t="str">
        <f t="shared" si="30"/>
        <v>TJ202512091019000351050</v>
      </c>
      <c r="AR100" s="13">
        <f t="shared" si="31"/>
        <v>0.06</v>
      </c>
    </row>
    <row r="101" spans="1:44">
      <c r="A101" s="29" t="s">
        <v>215</v>
      </c>
      <c r="B101" s="12" t="s">
        <v>216</v>
      </c>
      <c r="C101" s="12" t="s">
        <v>54</v>
      </c>
      <c r="D101" s="12" t="s">
        <v>55</v>
      </c>
      <c r="E101" s="12" t="s">
        <v>48</v>
      </c>
      <c r="F101" s="5">
        <f>ROUND(SUMIF([1]开票!$A$2:$A$1750,[1]申请!AQ101,[1]开票!$C$2:$C$1750),2)</f>
        <v>20091.9</v>
      </c>
      <c r="G101" s="5">
        <f>ROUND(SUMIF([1]开票!$A$2:$A$1750,[1]申请!AQ101,[1]开票!$D$2:$D$1750),2)</f>
        <v>515936.3</v>
      </c>
      <c r="H101" s="5">
        <f>ROUND(SUMIF([1]开票!$A$2:$A$1750,[1]申请!AQ101,[1]开票!$E$2:$E$1750),2)</f>
        <v>1004.6</v>
      </c>
      <c r="I101" s="5">
        <f t="shared" si="16"/>
        <v>537032.8</v>
      </c>
      <c r="J101" s="12"/>
      <c r="K101" s="12"/>
      <c r="L101" s="12">
        <v>537032.8</v>
      </c>
      <c r="M101" s="12"/>
      <c r="N101" s="12"/>
      <c r="O101" s="12"/>
      <c r="P101" s="12"/>
      <c r="Q101" s="12"/>
      <c r="R101" s="12"/>
      <c r="S101" s="12"/>
      <c r="T101" s="12"/>
      <c r="U101" s="15"/>
      <c r="V101" s="15"/>
      <c r="W101" s="12"/>
      <c r="X101" s="12"/>
      <c r="Y101" s="15"/>
      <c r="Z101" s="15"/>
      <c r="AA101" s="15"/>
      <c r="AB101" s="12"/>
      <c r="AC101" s="12"/>
      <c r="AD101" s="12">
        <f t="shared" si="17"/>
        <v>537032.8</v>
      </c>
      <c r="AE101" s="13">
        <f t="shared" si="18"/>
        <v>0</v>
      </c>
      <c r="AF101" s="14">
        <f t="shared" si="19"/>
        <v>0</v>
      </c>
      <c r="AG101" s="13">
        <f t="shared" si="20"/>
        <v>1004.6</v>
      </c>
      <c r="AH101" s="13">
        <f t="shared" si="21"/>
        <v>70.32</v>
      </c>
      <c r="AI101" s="13">
        <f t="shared" si="22"/>
        <v>30.14</v>
      </c>
      <c r="AJ101" s="13">
        <f t="shared" si="23"/>
        <v>20.09</v>
      </c>
      <c r="AK101" s="13">
        <f t="shared" si="24"/>
        <v>0</v>
      </c>
      <c r="AL101" s="13">
        <f t="shared" si="25"/>
        <v>0</v>
      </c>
      <c r="AM101" s="13">
        <f t="shared" si="26"/>
        <v>1004.6</v>
      </c>
      <c r="AN101" s="13">
        <f t="shared" si="27"/>
        <v>70.32</v>
      </c>
      <c r="AO101" s="13">
        <f t="shared" si="28"/>
        <v>30.14</v>
      </c>
      <c r="AP101" s="13">
        <f t="shared" si="29"/>
        <v>20.09</v>
      </c>
      <c r="AQ101" s="13" t="str">
        <f t="shared" si="30"/>
        <v>TJ202512091411000372035</v>
      </c>
      <c r="AR101" s="13">
        <f t="shared" si="31"/>
        <v>0.05</v>
      </c>
    </row>
    <row r="102" spans="1:44">
      <c r="A102" s="18" t="s">
        <v>217</v>
      </c>
      <c r="B102" s="12" t="s">
        <v>146</v>
      </c>
      <c r="C102" s="12" t="s">
        <v>54</v>
      </c>
      <c r="D102" s="12" t="s">
        <v>47</v>
      </c>
      <c r="E102" s="12" t="s">
        <v>51</v>
      </c>
      <c r="F102" s="5">
        <f>ROUND(SUMIF([1]开票!$A$2:$A$1750,[1]申请!AQ102,[1]开票!$C$2:$C$1750),2)</f>
        <v>1753757.13</v>
      </c>
      <c r="G102" s="5">
        <f>ROUND(SUMIF([1]开票!$A$2:$A$1750,[1]申请!AQ102,[1]开票!$D$2:$D$1750),2)</f>
        <v>0</v>
      </c>
      <c r="H102" s="5">
        <f>ROUND(SUMIF([1]开票!$A$2:$A$1750,[1]申请!AQ102,[1]开票!$E$2:$E$1750),2)</f>
        <v>105225.43</v>
      </c>
      <c r="I102" s="5">
        <f t="shared" si="16"/>
        <v>1858982.56</v>
      </c>
      <c r="J102" s="12">
        <v>10392.9</v>
      </c>
      <c r="K102" s="12"/>
      <c r="L102" s="12"/>
      <c r="M102" s="12"/>
      <c r="N102" s="12"/>
      <c r="O102" s="12"/>
      <c r="P102" s="12"/>
      <c r="Q102" s="12"/>
      <c r="R102" s="12"/>
      <c r="S102" s="12">
        <v>1639114.66</v>
      </c>
      <c r="T102" s="12">
        <v>180.6</v>
      </c>
      <c r="U102" s="12">
        <v>92237.03</v>
      </c>
      <c r="V102" s="12"/>
      <c r="W102" s="12"/>
      <c r="X102" s="12"/>
      <c r="Y102" s="12">
        <v>117057.37</v>
      </c>
      <c r="Z102" s="12"/>
      <c r="AA102" s="12"/>
      <c r="AB102" s="12"/>
      <c r="AC102" s="12"/>
      <c r="AD102" s="12">
        <f t="shared" si="17"/>
        <v>1858982.56</v>
      </c>
      <c r="AE102" s="13">
        <f t="shared" si="18"/>
        <v>0</v>
      </c>
      <c r="AF102" s="14">
        <f t="shared" si="19"/>
        <v>0</v>
      </c>
      <c r="AG102" s="13">
        <f t="shared" si="20"/>
        <v>105225.43</v>
      </c>
      <c r="AH102" s="13">
        <f t="shared" si="21"/>
        <v>7365.78</v>
      </c>
      <c r="AI102" s="13">
        <f t="shared" si="22"/>
        <v>3156.76</v>
      </c>
      <c r="AJ102" s="13">
        <f t="shared" si="23"/>
        <v>2104.51</v>
      </c>
      <c r="AK102" s="13">
        <f t="shared" si="24"/>
        <v>104515.508928571</v>
      </c>
      <c r="AL102" s="13">
        <f t="shared" si="25"/>
        <v>12541.86</v>
      </c>
      <c r="AM102" s="13">
        <f t="shared" si="26"/>
        <v>709.92</v>
      </c>
      <c r="AN102" s="13">
        <f t="shared" si="27"/>
        <v>49.69</v>
      </c>
      <c r="AO102" s="13">
        <f t="shared" si="28"/>
        <v>21.3</v>
      </c>
      <c r="AP102" s="13">
        <f t="shared" si="29"/>
        <v>14.2</v>
      </c>
      <c r="AQ102" s="13" t="str">
        <f t="shared" si="30"/>
        <v>TJ202512091416000441359</v>
      </c>
      <c r="AR102" s="13">
        <f t="shared" si="31"/>
        <v>0.06</v>
      </c>
    </row>
    <row r="103" spans="1:44">
      <c r="A103" s="18" t="s">
        <v>218</v>
      </c>
      <c r="B103" s="12" t="s">
        <v>219</v>
      </c>
      <c r="C103" s="12" t="s">
        <v>46</v>
      </c>
      <c r="D103" s="12" t="s">
        <v>47</v>
      </c>
      <c r="E103" s="12" t="s">
        <v>48</v>
      </c>
      <c r="F103" s="5">
        <f>ROUND(SUMIF([1]开票!$A$2:$A$1750,[1]申请!AQ103,[1]开票!$C$2:$C$1750),2)</f>
        <v>500</v>
      </c>
      <c r="G103" s="5">
        <f>ROUND(SUMIF([1]开票!$A$2:$A$1750,[1]申请!AQ103,[1]开票!$D$2:$D$1750),2)</f>
        <v>14118.22</v>
      </c>
      <c r="H103" s="5">
        <f>ROUND(SUMIF([1]开票!$A$2:$A$1750,[1]申请!AQ103,[1]开票!$E$2:$E$1750),2)</f>
        <v>25</v>
      </c>
      <c r="I103" s="5">
        <f t="shared" si="16"/>
        <v>14643.22</v>
      </c>
      <c r="J103" s="12">
        <v>500</v>
      </c>
      <c r="K103" s="12"/>
      <c r="L103" s="12"/>
      <c r="M103" s="12"/>
      <c r="N103" s="12"/>
      <c r="O103" s="12"/>
      <c r="P103" s="12"/>
      <c r="Q103" s="12"/>
      <c r="R103" s="12"/>
      <c r="S103" s="15">
        <v>8605.33</v>
      </c>
      <c r="T103" s="15">
        <v>49.65</v>
      </c>
      <c r="U103" s="12">
        <v>4265.24</v>
      </c>
      <c r="V103" s="12">
        <v>1198</v>
      </c>
      <c r="W103" s="12"/>
      <c r="X103" s="12"/>
      <c r="Y103" s="12">
        <v>25</v>
      </c>
      <c r="Z103" s="12"/>
      <c r="AA103" s="12"/>
      <c r="AB103" s="12"/>
      <c r="AC103" s="12"/>
      <c r="AD103" s="12">
        <f t="shared" si="17"/>
        <v>14643.22</v>
      </c>
      <c r="AE103" s="13">
        <f t="shared" si="18"/>
        <v>0</v>
      </c>
      <c r="AF103" s="14">
        <f t="shared" si="19"/>
        <v>0</v>
      </c>
      <c r="AG103" s="13">
        <f t="shared" si="20"/>
        <v>25</v>
      </c>
      <c r="AH103" s="13">
        <f t="shared" si="21"/>
        <v>1.75</v>
      </c>
      <c r="AI103" s="13">
        <f t="shared" si="22"/>
        <v>0.75</v>
      </c>
      <c r="AJ103" s="13">
        <f t="shared" si="23"/>
        <v>0.5</v>
      </c>
      <c r="AK103" s="13">
        <f t="shared" si="24"/>
        <v>22.3214285714286</v>
      </c>
      <c r="AL103" s="13">
        <f t="shared" si="25"/>
        <v>2.68</v>
      </c>
      <c r="AM103" s="13">
        <f t="shared" si="26"/>
        <v>2.68</v>
      </c>
      <c r="AN103" s="13">
        <f t="shared" si="27"/>
        <v>0.19</v>
      </c>
      <c r="AO103" s="13">
        <f t="shared" si="28"/>
        <v>0.08</v>
      </c>
      <c r="AP103" s="13">
        <f t="shared" si="29"/>
        <v>0.05</v>
      </c>
      <c r="AQ103" s="13" t="str">
        <f t="shared" si="30"/>
        <v>TJ202512091458000352001</v>
      </c>
      <c r="AR103" s="13">
        <f t="shared" si="31"/>
        <v>0.05</v>
      </c>
    </row>
    <row r="104" spans="1:44">
      <c r="A104" s="18" t="s">
        <v>220</v>
      </c>
      <c r="B104" s="12" t="s">
        <v>221</v>
      </c>
      <c r="C104" s="12" t="s">
        <v>46</v>
      </c>
      <c r="D104" s="12" t="s">
        <v>47</v>
      </c>
      <c r="E104" s="12" t="s">
        <v>48</v>
      </c>
      <c r="F104" s="5">
        <f>ROUND(SUMIF([1]开票!$A$2:$A$1750,[1]申请!AQ104,[1]开票!$C$2:$C$1750),2)</f>
        <v>360</v>
      </c>
      <c r="G104" s="5">
        <f>ROUND(SUMIF([1]开票!$A$2:$A$1750,[1]申请!AQ104,[1]开票!$D$2:$D$1750),2)</f>
        <v>18205.99</v>
      </c>
      <c r="H104" s="5">
        <f>ROUND(SUMIF([1]开票!$A$2:$A$1750,[1]申请!AQ104,[1]开票!$E$2:$E$1750),2)</f>
        <v>18</v>
      </c>
      <c r="I104" s="5">
        <f t="shared" si="16"/>
        <v>18583.99</v>
      </c>
      <c r="J104" s="15">
        <v>378</v>
      </c>
      <c r="K104" s="12"/>
      <c r="L104" s="12"/>
      <c r="M104" s="12"/>
      <c r="N104" s="12"/>
      <c r="O104" s="12"/>
      <c r="P104" s="12"/>
      <c r="Q104" s="12"/>
      <c r="R104" s="12"/>
      <c r="S104" s="12">
        <v>13564.26</v>
      </c>
      <c r="T104" s="12">
        <v>110.23</v>
      </c>
      <c r="U104" s="15">
        <v>3631.5</v>
      </c>
      <c r="V104" s="12">
        <v>800</v>
      </c>
      <c r="W104" s="12"/>
      <c r="X104" s="12">
        <v>100</v>
      </c>
      <c r="Y104" s="12"/>
      <c r="Z104" s="12"/>
      <c r="AA104" s="12"/>
      <c r="AB104" s="12"/>
      <c r="AC104" s="12"/>
      <c r="AD104" s="12">
        <f t="shared" si="17"/>
        <v>18583.99</v>
      </c>
      <c r="AE104" s="13">
        <f t="shared" si="18"/>
        <v>0</v>
      </c>
      <c r="AF104" s="14">
        <f t="shared" si="19"/>
        <v>0</v>
      </c>
      <c r="AG104" s="13">
        <f t="shared" si="20"/>
        <v>18</v>
      </c>
      <c r="AH104" s="13">
        <f t="shared" si="21"/>
        <v>1.26</v>
      </c>
      <c r="AI104" s="13">
        <f t="shared" si="22"/>
        <v>0.54</v>
      </c>
      <c r="AJ104" s="13">
        <f t="shared" si="23"/>
        <v>0.36</v>
      </c>
      <c r="AK104" s="13">
        <f t="shared" si="24"/>
        <v>0</v>
      </c>
      <c r="AL104" s="13">
        <f t="shared" si="25"/>
        <v>0</v>
      </c>
      <c r="AM104" s="13">
        <f t="shared" si="26"/>
        <v>18</v>
      </c>
      <c r="AN104" s="13">
        <f t="shared" si="27"/>
        <v>1.26</v>
      </c>
      <c r="AO104" s="13">
        <f t="shared" si="28"/>
        <v>0.54</v>
      </c>
      <c r="AP104" s="13">
        <f t="shared" si="29"/>
        <v>0.36</v>
      </c>
      <c r="AQ104" s="13" t="str">
        <f t="shared" si="30"/>
        <v>TJ202512100936000034202</v>
      </c>
      <c r="AR104" s="13">
        <f t="shared" si="31"/>
        <v>0.05</v>
      </c>
    </row>
    <row r="105" spans="1:44">
      <c r="A105" s="18" t="s">
        <v>222</v>
      </c>
      <c r="B105" s="12" t="s">
        <v>223</v>
      </c>
      <c r="C105" s="12" t="s">
        <v>54</v>
      </c>
      <c r="D105" s="12" t="s">
        <v>47</v>
      </c>
      <c r="E105" s="12" t="s">
        <v>51</v>
      </c>
      <c r="F105" s="5">
        <f>ROUND(SUMIF([1]开票!$A$2:$A$1750,[1]申请!AQ105,[1]开票!$C$2:$C$1750),2)</f>
        <v>877421.52</v>
      </c>
      <c r="G105" s="5">
        <f>ROUND(SUMIF([1]开票!$A$2:$A$1750,[1]申请!AQ105,[1]开票!$D$2:$D$1750),2)</f>
        <v>0</v>
      </c>
      <c r="H105" s="5">
        <f>ROUND(SUMIF([1]开票!$A$2:$A$1750,[1]申请!AQ105,[1]开票!$E$2:$E$1750),2)</f>
        <v>52645.31</v>
      </c>
      <c r="I105" s="5">
        <f t="shared" si="16"/>
        <v>930066.83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>
        <v>58565.09</v>
      </c>
      <c r="Z105" s="12"/>
      <c r="AA105" s="12">
        <v>871501.74</v>
      </c>
      <c r="AB105" s="12"/>
      <c r="AC105" s="12"/>
      <c r="AD105" s="12">
        <f t="shared" si="17"/>
        <v>930066.83</v>
      </c>
      <c r="AE105" s="13">
        <f t="shared" si="18"/>
        <v>0</v>
      </c>
      <c r="AF105" s="14">
        <f t="shared" si="19"/>
        <v>0</v>
      </c>
      <c r="AG105" s="13">
        <f t="shared" si="20"/>
        <v>52645.31</v>
      </c>
      <c r="AH105" s="13">
        <f t="shared" si="21"/>
        <v>3685.17</v>
      </c>
      <c r="AI105" s="13">
        <f t="shared" si="22"/>
        <v>1579.36</v>
      </c>
      <c r="AJ105" s="13">
        <f t="shared" si="23"/>
        <v>1052.91</v>
      </c>
      <c r="AK105" s="13">
        <f t="shared" si="24"/>
        <v>52290.2589285714</v>
      </c>
      <c r="AL105" s="13">
        <f t="shared" si="25"/>
        <v>6274.83</v>
      </c>
      <c r="AM105" s="13">
        <f t="shared" si="26"/>
        <v>355.05</v>
      </c>
      <c r="AN105" s="13">
        <f t="shared" si="27"/>
        <v>24.85</v>
      </c>
      <c r="AO105" s="13">
        <f t="shared" si="28"/>
        <v>10.65</v>
      </c>
      <c r="AP105" s="13">
        <f t="shared" si="29"/>
        <v>7.11</v>
      </c>
      <c r="AQ105" s="13" t="str">
        <f t="shared" si="30"/>
        <v>TJ202512091635000115968</v>
      </c>
      <c r="AR105" s="13">
        <f t="shared" si="31"/>
        <v>0.06</v>
      </c>
    </row>
    <row r="106" spans="1:44">
      <c r="A106" s="18" t="s">
        <v>224</v>
      </c>
      <c r="B106" s="12" t="s">
        <v>225</v>
      </c>
      <c r="C106" s="12" t="s">
        <v>46</v>
      </c>
      <c r="D106" s="12" t="s">
        <v>47</v>
      </c>
      <c r="E106" s="12" t="s">
        <v>48</v>
      </c>
      <c r="F106" s="5">
        <f>ROUND(SUMIF([1]开票!$A$2:$A$1750,[1]申请!AQ106,[1]开票!$C$2:$C$1750),2)</f>
        <v>571.43</v>
      </c>
      <c r="G106" s="5">
        <f>ROUND(SUMIF([1]开票!$A$2:$A$1750,[1]申请!AQ106,[1]开票!$D$2:$D$1750),2)</f>
        <v>188473.25</v>
      </c>
      <c r="H106" s="5">
        <f>ROUND(SUMIF([1]开票!$A$2:$A$1750,[1]申请!AQ106,[1]开票!$E$2:$E$1750),2)</f>
        <v>28.57</v>
      </c>
      <c r="I106" s="5">
        <f t="shared" si="16"/>
        <v>189073.25</v>
      </c>
      <c r="J106" s="12">
        <v>600</v>
      </c>
      <c r="K106" s="12"/>
      <c r="L106" s="12"/>
      <c r="M106" s="12"/>
      <c r="N106" s="12"/>
      <c r="O106" s="12"/>
      <c r="P106" s="12"/>
      <c r="Q106" s="12"/>
      <c r="R106" s="12"/>
      <c r="S106" s="12">
        <v>96929.03</v>
      </c>
      <c r="T106" s="12">
        <v>16845.69</v>
      </c>
      <c r="U106" s="12">
        <v>48847.7</v>
      </c>
      <c r="V106" s="12">
        <v>24010</v>
      </c>
      <c r="W106" s="12"/>
      <c r="X106" s="12">
        <v>1840.83</v>
      </c>
      <c r="Y106" s="12"/>
      <c r="Z106" s="12"/>
      <c r="AA106" s="12"/>
      <c r="AB106" s="12"/>
      <c r="AC106" s="12"/>
      <c r="AD106" s="12">
        <f t="shared" si="17"/>
        <v>189073.25</v>
      </c>
      <c r="AE106" s="13">
        <f t="shared" si="18"/>
        <v>0</v>
      </c>
      <c r="AF106" s="14">
        <f t="shared" si="19"/>
        <v>0</v>
      </c>
      <c r="AG106" s="13">
        <f t="shared" si="20"/>
        <v>28.57</v>
      </c>
      <c r="AH106" s="13">
        <f t="shared" si="21"/>
        <v>2</v>
      </c>
      <c r="AI106" s="13">
        <f t="shared" si="22"/>
        <v>0.86</v>
      </c>
      <c r="AJ106" s="13">
        <f t="shared" si="23"/>
        <v>0.57</v>
      </c>
      <c r="AK106" s="13">
        <f t="shared" si="24"/>
        <v>0</v>
      </c>
      <c r="AL106" s="13">
        <f t="shared" si="25"/>
        <v>0</v>
      </c>
      <c r="AM106" s="13">
        <f t="shared" si="26"/>
        <v>28.57</v>
      </c>
      <c r="AN106" s="13">
        <f t="shared" si="27"/>
        <v>2</v>
      </c>
      <c r="AO106" s="13">
        <f t="shared" si="28"/>
        <v>0.86</v>
      </c>
      <c r="AP106" s="13">
        <f t="shared" si="29"/>
        <v>0.57</v>
      </c>
      <c r="AQ106" s="13" t="str">
        <f t="shared" si="30"/>
        <v>TJ202512091657000426817</v>
      </c>
      <c r="AR106" s="13">
        <f t="shared" si="31"/>
        <v>0.05</v>
      </c>
    </row>
    <row r="107" spans="1:44">
      <c r="A107" s="18" t="s">
        <v>226</v>
      </c>
      <c r="B107" s="12" t="s">
        <v>227</v>
      </c>
      <c r="C107" s="12" t="s">
        <v>54</v>
      </c>
      <c r="D107" s="12" t="s">
        <v>55</v>
      </c>
      <c r="E107" s="12" t="s">
        <v>51</v>
      </c>
      <c r="F107" s="5">
        <f>ROUND(SUMIF([1]开票!$A$2:$A$1750,[1]申请!AQ107,[1]开票!$C$2:$C$1750),2)</f>
        <v>12570.71</v>
      </c>
      <c r="G107" s="5">
        <f>ROUND(SUMIF([1]开票!$A$2:$A$1750,[1]申请!AQ107,[1]开票!$D$2:$D$1750),2)</f>
        <v>0</v>
      </c>
      <c r="H107" s="5">
        <f>ROUND(SUMIF([1]开票!$A$2:$A$1750,[1]申请!AQ107,[1]开票!$E$2:$E$1750),2)</f>
        <v>754.24</v>
      </c>
      <c r="I107" s="5">
        <f t="shared" si="16"/>
        <v>13324.95</v>
      </c>
      <c r="J107" s="12"/>
      <c r="K107" s="12"/>
      <c r="L107" s="12">
        <v>13324.95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>
        <f t="shared" si="17"/>
        <v>13324.95</v>
      </c>
      <c r="AE107" s="13">
        <f t="shared" si="18"/>
        <v>0</v>
      </c>
      <c r="AF107" s="14">
        <f t="shared" si="19"/>
        <v>0</v>
      </c>
      <c r="AG107" s="13">
        <f t="shared" si="20"/>
        <v>754.24</v>
      </c>
      <c r="AH107" s="13">
        <f t="shared" si="21"/>
        <v>52.8</v>
      </c>
      <c r="AI107" s="13">
        <f t="shared" si="22"/>
        <v>22.63</v>
      </c>
      <c r="AJ107" s="13">
        <f t="shared" si="23"/>
        <v>15.08</v>
      </c>
      <c r="AK107" s="13">
        <f t="shared" si="24"/>
        <v>0</v>
      </c>
      <c r="AL107" s="13">
        <f t="shared" si="25"/>
        <v>0</v>
      </c>
      <c r="AM107" s="13">
        <f t="shared" si="26"/>
        <v>754.24</v>
      </c>
      <c r="AN107" s="13">
        <f t="shared" si="27"/>
        <v>52.8</v>
      </c>
      <c r="AO107" s="13">
        <f t="shared" si="28"/>
        <v>22.63</v>
      </c>
      <c r="AP107" s="13">
        <f t="shared" si="29"/>
        <v>15.08</v>
      </c>
      <c r="AQ107" s="13" t="str">
        <f t="shared" si="30"/>
        <v>TJ202512091657000458293</v>
      </c>
      <c r="AR107" s="13">
        <f t="shared" si="31"/>
        <v>0.06</v>
      </c>
    </row>
    <row r="108" spans="1:44">
      <c r="A108" s="18" t="s">
        <v>228</v>
      </c>
      <c r="B108" s="12" t="s">
        <v>227</v>
      </c>
      <c r="C108" s="12" t="s">
        <v>54</v>
      </c>
      <c r="D108" s="12" t="s">
        <v>55</v>
      </c>
      <c r="E108" s="12" t="s">
        <v>51</v>
      </c>
      <c r="F108" s="5">
        <f>ROUND(SUMIF([1]开票!$A$2:$A$1750,[1]申请!AQ108,[1]开票!$C$2:$C$1750),2)</f>
        <v>87981.72</v>
      </c>
      <c r="G108" s="5">
        <f>ROUND(SUMIF([1]开票!$A$2:$A$1750,[1]申请!AQ108,[1]开票!$D$2:$D$1750),2)</f>
        <v>0</v>
      </c>
      <c r="H108" s="5">
        <f>ROUND(SUMIF([1]开票!$A$2:$A$1750,[1]申请!AQ108,[1]开票!$E$2:$E$1750),2)</f>
        <v>5278.9</v>
      </c>
      <c r="I108" s="5">
        <f t="shared" si="16"/>
        <v>93260.62</v>
      </c>
      <c r="J108" s="12"/>
      <c r="K108" s="12"/>
      <c r="L108" s="12">
        <v>93260.62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>
        <f t="shared" si="17"/>
        <v>93260.62</v>
      </c>
      <c r="AE108" s="13">
        <f t="shared" si="18"/>
        <v>0</v>
      </c>
      <c r="AF108" s="14">
        <f t="shared" si="19"/>
        <v>0</v>
      </c>
      <c r="AG108" s="13">
        <f t="shared" si="20"/>
        <v>5278.9</v>
      </c>
      <c r="AH108" s="13">
        <f t="shared" si="21"/>
        <v>369.52</v>
      </c>
      <c r="AI108" s="13">
        <f t="shared" si="22"/>
        <v>158.37</v>
      </c>
      <c r="AJ108" s="13">
        <f t="shared" si="23"/>
        <v>105.58</v>
      </c>
      <c r="AK108" s="13">
        <f t="shared" si="24"/>
        <v>0</v>
      </c>
      <c r="AL108" s="13">
        <f t="shared" si="25"/>
        <v>0</v>
      </c>
      <c r="AM108" s="13">
        <f t="shared" si="26"/>
        <v>5278.9</v>
      </c>
      <c r="AN108" s="13">
        <f t="shared" si="27"/>
        <v>369.52</v>
      </c>
      <c r="AO108" s="13">
        <f t="shared" si="28"/>
        <v>158.37</v>
      </c>
      <c r="AP108" s="13">
        <f t="shared" si="29"/>
        <v>105.58</v>
      </c>
      <c r="AQ108" s="13" t="str">
        <f t="shared" si="30"/>
        <v>TJ202512091658000206088</v>
      </c>
      <c r="AR108" s="13">
        <f t="shared" si="31"/>
        <v>0.06</v>
      </c>
    </row>
    <row r="109" spans="1:44">
      <c r="A109" s="18" t="s">
        <v>229</v>
      </c>
      <c r="B109" s="12" t="s">
        <v>230</v>
      </c>
      <c r="C109" s="12" t="s">
        <v>46</v>
      </c>
      <c r="D109" s="12" t="s">
        <v>47</v>
      </c>
      <c r="E109" s="12" t="s">
        <v>48</v>
      </c>
      <c r="F109" s="5">
        <f>ROUND(SUMIF([1]开票!$A$2:$A$1750,[1]申请!AQ109,[1]开票!$C$2:$C$1750),2)</f>
        <v>190.48</v>
      </c>
      <c r="G109" s="5">
        <f>ROUND(SUMIF([1]开票!$A$2:$A$1750,[1]申请!AQ109,[1]开票!$D$2:$D$1750),2)</f>
        <v>53309.12</v>
      </c>
      <c r="H109" s="5">
        <f>ROUND(SUMIF([1]开票!$A$2:$A$1750,[1]申请!AQ109,[1]开票!$E$2:$E$1750),2)</f>
        <v>9.52</v>
      </c>
      <c r="I109" s="5">
        <f t="shared" si="16"/>
        <v>53509.12</v>
      </c>
      <c r="J109" s="12">
        <v>200</v>
      </c>
      <c r="K109" s="12"/>
      <c r="L109" s="12"/>
      <c r="M109" s="12"/>
      <c r="N109" s="12"/>
      <c r="O109" s="12"/>
      <c r="P109" s="12"/>
      <c r="Q109" s="12"/>
      <c r="R109" s="12"/>
      <c r="S109" s="12">
        <v>30611.96</v>
      </c>
      <c r="T109" s="12">
        <v>3356.33</v>
      </c>
      <c r="U109" s="12">
        <v>13555.01</v>
      </c>
      <c r="V109" s="12">
        <v>5226</v>
      </c>
      <c r="W109" s="12"/>
      <c r="X109" s="12">
        <v>559.82</v>
      </c>
      <c r="Y109" s="12"/>
      <c r="Z109" s="12"/>
      <c r="AA109" s="12"/>
      <c r="AB109" s="12"/>
      <c r="AC109" s="12"/>
      <c r="AD109" s="12">
        <f t="shared" si="17"/>
        <v>53509.12</v>
      </c>
      <c r="AE109" s="13">
        <f t="shared" si="18"/>
        <v>0</v>
      </c>
      <c r="AF109" s="14">
        <f t="shared" si="19"/>
        <v>0</v>
      </c>
      <c r="AG109" s="13">
        <f t="shared" si="20"/>
        <v>9.52</v>
      </c>
      <c r="AH109" s="13">
        <f t="shared" si="21"/>
        <v>0.67</v>
      </c>
      <c r="AI109" s="13">
        <f t="shared" si="22"/>
        <v>0.29</v>
      </c>
      <c r="AJ109" s="13">
        <f t="shared" si="23"/>
        <v>0.19</v>
      </c>
      <c r="AK109" s="13">
        <f t="shared" si="24"/>
        <v>0</v>
      </c>
      <c r="AL109" s="13">
        <f t="shared" si="25"/>
        <v>0</v>
      </c>
      <c r="AM109" s="13">
        <f t="shared" si="26"/>
        <v>9.52</v>
      </c>
      <c r="AN109" s="13">
        <f t="shared" si="27"/>
        <v>0.67</v>
      </c>
      <c r="AO109" s="13">
        <f t="shared" si="28"/>
        <v>0.29</v>
      </c>
      <c r="AP109" s="13">
        <f t="shared" si="29"/>
        <v>0.19</v>
      </c>
      <c r="AQ109" s="13" t="str">
        <f t="shared" si="30"/>
        <v>TJ202512091700000341681</v>
      </c>
      <c r="AR109" s="13">
        <f t="shared" si="31"/>
        <v>0.05</v>
      </c>
    </row>
    <row r="110" spans="1:44">
      <c r="A110" s="18" t="s">
        <v>231</v>
      </c>
      <c r="B110" s="12" t="s">
        <v>183</v>
      </c>
      <c r="C110" s="12" t="s">
        <v>46</v>
      </c>
      <c r="D110" s="12" t="s">
        <v>47</v>
      </c>
      <c r="E110" s="12" t="s">
        <v>184</v>
      </c>
      <c r="F110" s="5">
        <f>ROUND(SUMIF([1]开票!$A$2:$A$1750,[1]申请!AQ110,[1]开票!$C$2:$C$1750),2)</f>
        <v>5509.07</v>
      </c>
      <c r="G110" s="5">
        <f>ROUND(SUMIF([1]开票!$A$2:$A$1750,[1]申请!AQ110,[1]开票!$D$2:$D$1750),2)</f>
        <v>189592.98</v>
      </c>
      <c r="H110" s="5">
        <f>ROUND(SUMIF([1]开票!$A$2:$A$1750,[1]申请!AQ110,[1]开票!$E$2:$E$1750),2)</f>
        <v>275.45</v>
      </c>
      <c r="I110" s="5">
        <f t="shared" si="16"/>
        <v>195377.5</v>
      </c>
      <c r="J110" s="12">
        <v>3972.5</v>
      </c>
      <c r="K110" s="12"/>
      <c r="L110" s="12"/>
      <c r="M110" s="12"/>
      <c r="N110" s="12"/>
      <c r="O110" s="12"/>
      <c r="P110" s="12"/>
      <c r="Q110" s="12"/>
      <c r="R110" s="12"/>
      <c r="S110" s="15">
        <v>172903.45</v>
      </c>
      <c r="T110" s="12">
        <v>330.98</v>
      </c>
      <c r="U110" s="12">
        <v>16358.55</v>
      </c>
      <c r="V110" s="12"/>
      <c r="W110" s="12">
        <v>927.5</v>
      </c>
      <c r="X110" s="12">
        <v>884.52</v>
      </c>
      <c r="Y110" s="12"/>
      <c r="Z110" s="12"/>
      <c r="AA110" s="12"/>
      <c r="AB110" s="12"/>
      <c r="AC110" s="12"/>
      <c r="AD110" s="12">
        <f t="shared" si="17"/>
        <v>195377.5</v>
      </c>
      <c r="AE110" s="13">
        <f t="shared" si="18"/>
        <v>0</v>
      </c>
      <c r="AF110" s="14">
        <f t="shared" si="19"/>
        <v>0</v>
      </c>
      <c r="AG110" s="13">
        <f t="shared" si="20"/>
        <v>275.45</v>
      </c>
      <c r="AH110" s="13">
        <f t="shared" si="21"/>
        <v>19.28</v>
      </c>
      <c r="AI110" s="13">
        <f t="shared" si="22"/>
        <v>8.26</v>
      </c>
      <c r="AJ110" s="13">
        <f t="shared" si="23"/>
        <v>5.51</v>
      </c>
      <c r="AK110" s="13">
        <f t="shared" si="24"/>
        <v>0</v>
      </c>
      <c r="AL110" s="13">
        <f t="shared" si="25"/>
        <v>0</v>
      </c>
      <c r="AM110" s="13">
        <f t="shared" si="26"/>
        <v>275.45</v>
      </c>
      <c r="AN110" s="13">
        <f t="shared" si="27"/>
        <v>19.28</v>
      </c>
      <c r="AO110" s="13">
        <f t="shared" si="28"/>
        <v>8.26</v>
      </c>
      <c r="AP110" s="13">
        <f t="shared" si="29"/>
        <v>5.51</v>
      </c>
      <c r="AQ110" s="13" t="str">
        <f t="shared" si="30"/>
        <v>TJ202512091830000181046</v>
      </c>
      <c r="AR110" s="13">
        <f t="shared" si="31"/>
        <v>0.05</v>
      </c>
    </row>
    <row r="111" spans="1:44">
      <c r="A111" s="18" t="s">
        <v>232</v>
      </c>
      <c r="B111" s="12" t="s">
        <v>131</v>
      </c>
      <c r="C111" s="12" t="s">
        <v>132</v>
      </c>
      <c r="D111" s="12" t="s">
        <v>60</v>
      </c>
      <c r="E111" s="12" t="s">
        <v>51</v>
      </c>
      <c r="F111" s="5">
        <f>ROUND(SUMIF([1]开票!$A$2:$A$1750,[1]申请!AQ111,[1]开票!$C$2:$C$1750),2)</f>
        <v>5455602.86</v>
      </c>
      <c r="G111" s="5">
        <f>ROUND(SUMIF([1]开票!$A$2:$A$1750,[1]申请!AQ111,[1]开票!$D$2:$D$1750),2)</f>
        <v>0</v>
      </c>
      <c r="H111" s="5">
        <f>ROUND(SUMIF([1]开票!$A$2:$A$1750,[1]申请!AQ111,[1]开票!$E$2:$E$1750),2)</f>
        <v>327336.17</v>
      </c>
      <c r="I111" s="5">
        <f t="shared" si="16"/>
        <v>5782939.03</v>
      </c>
      <c r="J111" s="12"/>
      <c r="K111" s="12"/>
      <c r="L111" s="12"/>
      <c r="M111" s="12"/>
      <c r="N111" s="12"/>
      <c r="O111" s="12"/>
      <c r="P111" s="12"/>
      <c r="Q111" s="12">
        <v>289815.48</v>
      </c>
      <c r="R111" s="12"/>
      <c r="S111" s="12"/>
      <c r="T111" s="12"/>
      <c r="U111" s="12"/>
      <c r="V111" s="12"/>
      <c r="W111" s="12"/>
      <c r="X111" s="12"/>
      <c r="Y111" s="12"/>
      <c r="Z111" s="12">
        <v>5493123.55</v>
      </c>
      <c r="AA111" s="12"/>
      <c r="AB111" s="12"/>
      <c r="AC111" s="12"/>
      <c r="AD111" s="12">
        <f t="shared" si="17"/>
        <v>5782939.03</v>
      </c>
      <c r="AE111" s="13">
        <f t="shared" si="18"/>
        <v>0</v>
      </c>
      <c r="AF111" s="14">
        <f t="shared" si="19"/>
        <v>0</v>
      </c>
      <c r="AG111" s="13">
        <f t="shared" si="20"/>
        <v>327336.17</v>
      </c>
      <c r="AH111" s="13">
        <f t="shared" si="21"/>
        <v>22913.53</v>
      </c>
      <c r="AI111" s="13">
        <f t="shared" si="22"/>
        <v>9820.09</v>
      </c>
      <c r="AJ111" s="13">
        <f t="shared" si="23"/>
        <v>6546.72</v>
      </c>
      <c r="AK111" s="13">
        <f t="shared" si="24"/>
        <v>0</v>
      </c>
      <c r="AL111" s="13">
        <f t="shared" si="25"/>
        <v>0</v>
      </c>
      <c r="AM111" s="13">
        <f t="shared" si="26"/>
        <v>327336.17</v>
      </c>
      <c r="AN111" s="13">
        <f t="shared" si="27"/>
        <v>22913.53</v>
      </c>
      <c r="AO111" s="13">
        <f t="shared" si="28"/>
        <v>9820.09</v>
      </c>
      <c r="AP111" s="13">
        <f t="shared" si="29"/>
        <v>6546.72</v>
      </c>
      <c r="AQ111" s="13" t="str">
        <f t="shared" si="30"/>
        <v>TJ202512092041000468874</v>
      </c>
      <c r="AR111" s="13">
        <f t="shared" si="31"/>
        <v>0.06</v>
      </c>
    </row>
    <row r="112" spans="1:44">
      <c r="A112" s="18" t="s">
        <v>233</v>
      </c>
      <c r="B112" s="12" t="s">
        <v>234</v>
      </c>
      <c r="C112" s="12" t="s">
        <v>46</v>
      </c>
      <c r="D112" s="12" t="s">
        <v>47</v>
      </c>
      <c r="E112" s="12" t="s">
        <v>48</v>
      </c>
      <c r="F112" s="5">
        <f>ROUND(SUMIF([1]开票!$A$2:$A$1750,[1]申请!AQ112,[1]开票!$C$2:$C$1750),2)</f>
        <v>0</v>
      </c>
      <c r="G112" s="5">
        <f>ROUND(SUMIF([1]开票!$A$2:$A$1750,[1]申请!AQ112,[1]开票!$D$2:$D$1750),2)</f>
        <v>10846.1</v>
      </c>
      <c r="H112" s="5">
        <f>ROUND(SUMIF([1]开票!$A$2:$A$1750,[1]申请!AQ112,[1]开票!$E$2:$E$1750),2)</f>
        <v>0</v>
      </c>
      <c r="I112" s="5">
        <f t="shared" si="16"/>
        <v>10846.1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>
        <v>10846.1</v>
      </c>
      <c r="T112" s="12">
        <v>0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>
        <f t="shared" si="17"/>
        <v>10846.1</v>
      </c>
      <c r="AE112" s="13">
        <f t="shared" si="18"/>
        <v>0</v>
      </c>
      <c r="AF112" s="14">
        <f t="shared" si="19"/>
        <v>0</v>
      </c>
      <c r="AG112" s="13">
        <f t="shared" si="20"/>
        <v>0</v>
      </c>
      <c r="AH112" s="13">
        <f t="shared" si="21"/>
        <v>0</v>
      </c>
      <c r="AI112" s="13">
        <f t="shared" si="22"/>
        <v>0</v>
      </c>
      <c r="AJ112" s="13">
        <f t="shared" si="23"/>
        <v>0</v>
      </c>
      <c r="AK112" s="13">
        <f t="shared" si="24"/>
        <v>0</v>
      </c>
      <c r="AL112" s="13">
        <f t="shared" si="25"/>
        <v>0</v>
      </c>
      <c r="AM112" s="13">
        <f t="shared" si="26"/>
        <v>0</v>
      </c>
      <c r="AN112" s="13">
        <f t="shared" si="27"/>
        <v>0</v>
      </c>
      <c r="AO112" s="13">
        <f t="shared" si="28"/>
        <v>0</v>
      </c>
      <c r="AP112" s="13">
        <f t="shared" si="29"/>
        <v>0</v>
      </c>
      <c r="AQ112" s="13" t="str">
        <f t="shared" si="30"/>
        <v>TJ202512100912000343420</v>
      </c>
      <c r="AR112" s="13">
        <f t="shared" si="31"/>
        <v>0.05</v>
      </c>
    </row>
    <row r="113" spans="1:44">
      <c r="A113" s="18" t="s">
        <v>235</v>
      </c>
      <c r="B113" s="12" t="s">
        <v>236</v>
      </c>
      <c r="C113" s="12" t="s">
        <v>46</v>
      </c>
      <c r="D113" s="12" t="s">
        <v>47</v>
      </c>
      <c r="E113" s="12" t="s">
        <v>48</v>
      </c>
      <c r="F113" s="5">
        <f>ROUND(SUMIF([1]开票!$A$2:$A$1750,[1]申请!AQ113,[1]开票!$C$2:$C$1750),2)</f>
        <v>0</v>
      </c>
      <c r="G113" s="5">
        <f>ROUND(SUMIF([1]开票!$A$2:$A$1750,[1]申请!AQ113,[1]开票!$D$2:$D$1750),2)</f>
        <v>11008.09</v>
      </c>
      <c r="H113" s="5">
        <f>ROUND(SUMIF([1]开票!$A$2:$A$1750,[1]申请!AQ113,[1]开票!$E$2:$E$1750),2)</f>
        <v>0</v>
      </c>
      <c r="I113" s="5">
        <f t="shared" si="16"/>
        <v>11008.09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>
        <v>10407.28</v>
      </c>
      <c r="T113" s="12">
        <v>600.81</v>
      </c>
      <c r="U113" s="12"/>
      <c r="V113" s="12"/>
      <c r="W113" s="12"/>
      <c r="X113" s="12"/>
      <c r="Y113" s="12"/>
      <c r="Z113" s="12"/>
      <c r="AA113" s="12"/>
      <c r="AB113" s="12"/>
      <c r="AC113" s="12"/>
      <c r="AD113" s="12">
        <f t="shared" si="17"/>
        <v>11008.09</v>
      </c>
      <c r="AE113" s="13">
        <f t="shared" si="18"/>
        <v>0</v>
      </c>
      <c r="AF113" s="14">
        <f t="shared" si="19"/>
        <v>0</v>
      </c>
      <c r="AG113" s="13">
        <f t="shared" si="20"/>
        <v>0</v>
      </c>
      <c r="AH113" s="13">
        <f t="shared" si="21"/>
        <v>0</v>
      </c>
      <c r="AI113" s="13">
        <f t="shared" si="22"/>
        <v>0</v>
      </c>
      <c r="AJ113" s="13">
        <f t="shared" si="23"/>
        <v>0</v>
      </c>
      <c r="AK113" s="13">
        <f t="shared" si="24"/>
        <v>0</v>
      </c>
      <c r="AL113" s="13">
        <f t="shared" si="25"/>
        <v>0</v>
      </c>
      <c r="AM113" s="13">
        <f t="shared" si="26"/>
        <v>0</v>
      </c>
      <c r="AN113" s="13">
        <f t="shared" si="27"/>
        <v>0</v>
      </c>
      <c r="AO113" s="13">
        <f t="shared" si="28"/>
        <v>0</v>
      </c>
      <c r="AP113" s="13">
        <f t="shared" si="29"/>
        <v>0</v>
      </c>
      <c r="AQ113" s="13" t="str">
        <f t="shared" si="30"/>
        <v>TJ202512100914000358917</v>
      </c>
      <c r="AR113" s="13">
        <f t="shared" si="31"/>
        <v>0.05</v>
      </c>
    </row>
    <row r="114" spans="1:44">
      <c r="A114" s="18" t="s">
        <v>237</v>
      </c>
      <c r="B114" s="12" t="s">
        <v>238</v>
      </c>
      <c r="C114" s="12" t="s">
        <v>54</v>
      </c>
      <c r="D114" s="12" t="s">
        <v>55</v>
      </c>
      <c r="E114" s="12" t="s">
        <v>51</v>
      </c>
      <c r="F114" s="5">
        <f>ROUND(SUMIF([1]开票!$A$2:$A$1750,[1]申请!AQ114,[1]开票!$C$2:$C$1750),2)</f>
        <v>716019.24</v>
      </c>
      <c r="G114" s="5">
        <f>ROUND(SUMIF([1]开票!$A$2:$A$1750,[1]申请!AQ114,[1]开票!$D$2:$D$1750),2)</f>
        <v>0</v>
      </c>
      <c r="H114" s="5">
        <f>ROUND(SUMIF([1]开票!$A$2:$A$1750,[1]申请!AQ114,[1]开票!$E$2:$E$1750),2)</f>
        <v>42961.15</v>
      </c>
      <c r="I114" s="5">
        <f t="shared" si="16"/>
        <v>758980.39</v>
      </c>
      <c r="J114" s="12"/>
      <c r="K114" s="12"/>
      <c r="L114" s="12">
        <v>758980.39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>
        <f t="shared" si="17"/>
        <v>758980.39</v>
      </c>
      <c r="AE114" s="13">
        <f t="shared" si="18"/>
        <v>0</v>
      </c>
      <c r="AF114" s="14">
        <f t="shared" si="19"/>
        <v>0</v>
      </c>
      <c r="AG114" s="13">
        <f t="shared" si="20"/>
        <v>42961.15</v>
      </c>
      <c r="AH114" s="13">
        <f t="shared" si="21"/>
        <v>3007.28</v>
      </c>
      <c r="AI114" s="13">
        <f t="shared" si="22"/>
        <v>1288.83</v>
      </c>
      <c r="AJ114" s="13">
        <f t="shared" si="23"/>
        <v>859.22</v>
      </c>
      <c r="AK114" s="13">
        <f t="shared" si="24"/>
        <v>0</v>
      </c>
      <c r="AL114" s="13">
        <f t="shared" si="25"/>
        <v>0</v>
      </c>
      <c r="AM114" s="13">
        <f t="shared" si="26"/>
        <v>42961.15</v>
      </c>
      <c r="AN114" s="13">
        <f t="shared" si="27"/>
        <v>3007.28</v>
      </c>
      <c r="AO114" s="13">
        <f t="shared" si="28"/>
        <v>1288.83</v>
      </c>
      <c r="AP114" s="13">
        <f t="shared" si="29"/>
        <v>859.22</v>
      </c>
      <c r="AQ114" s="13" t="str">
        <f t="shared" si="30"/>
        <v>TJ202512101056000224477</v>
      </c>
      <c r="AR114" s="13">
        <f t="shared" si="31"/>
        <v>0.06</v>
      </c>
    </row>
    <row r="115" spans="1:44">
      <c r="A115" s="18" t="s">
        <v>239</v>
      </c>
      <c r="B115" s="12" t="s">
        <v>240</v>
      </c>
      <c r="C115" s="12" t="s">
        <v>46</v>
      </c>
      <c r="D115" s="12" t="s">
        <v>47</v>
      </c>
      <c r="E115" s="12" t="s">
        <v>48</v>
      </c>
      <c r="F115" s="5">
        <f>ROUND(SUMIF([1]开票!$A$2:$A$1750,[1]申请!AQ115,[1]开票!$C$2:$C$1750),2)</f>
        <v>800</v>
      </c>
      <c r="G115" s="5">
        <f>ROUND(SUMIF([1]开票!$A$2:$A$1750,[1]申请!AQ115,[1]开票!$D$2:$D$1750),2)</f>
        <v>51151.81</v>
      </c>
      <c r="H115" s="5">
        <f>ROUND(SUMIF([1]开票!$A$2:$A$1750,[1]申请!AQ115,[1]开票!$E$2:$E$1750),2)</f>
        <v>40</v>
      </c>
      <c r="I115" s="5">
        <f t="shared" si="16"/>
        <v>51991.81</v>
      </c>
      <c r="J115" s="12">
        <v>800</v>
      </c>
      <c r="K115" s="12"/>
      <c r="L115" s="12"/>
      <c r="M115" s="12"/>
      <c r="N115" s="12"/>
      <c r="O115" s="12"/>
      <c r="P115" s="12"/>
      <c r="Q115" s="12"/>
      <c r="R115" s="12"/>
      <c r="S115" s="12">
        <v>43117.19</v>
      </c>
      <c r="T115" s="12">
        <v>313.14</v>
      </c>
      <c r="U115" s="12">
        <v>7345.48</v>
      </c>
      <c r="V115" s="12"/>
      <c r="W115" s="12">
        <v>376</v>
      </c>
      <c r="X115" s="12"/>
      <c r="Y115" s="12">
        <v>40</v>
      </c>
      <c r="Z115" s="12"/>
      <c r="AA115" s="12"/>
      <c r="AB115" s="12"/>
      <c r="AC115" s="12"/>
      <c r="AD115" s="12">
        <f t="shared" si="17"/>
        <v>51991.81</v>
      </c>
      <c r="AE115" s="13">
        <f t="shared" si="18"/>
        <v>0</v>
      </c>
      <c r="AF115" s="14">
        <f t="shared" si="19"/>
        <v>0</v>
      </c>
      <c r="AG115" s="13">
        <f t="shared" si="20"/>
        <v>40</v>
      </c>
      <c r="AH115" s="13">
        <f t="shared" si="21"/>
        <v>2.8</v>
      </c>
      <c r="AI115" s="13">
        <f t="shared" si="22"/>
        <v>1.2</v>
      </c>
      <c r="AJ115" s="13">
        <f t="shared" si="23"/>
        <v>0.8</v>
      </c>
      <c r="AK115" s="13">
        <f t="shared" si="24"/>
        <v>35.7142857142857</v>
      </c>
      <c r="AL115" s="13">
        <f t="shared" si="25"/>
        <v>4.29</v>
      </c>
      <c r="AM115" s="13">
        <f t="shared" si="26"/>
        <v>4.29</v>
      </c>
      <c r="AN115" s="13">
        <f t="shared" si="27"/>
        <v>0.3</v>
      </c>
      <c r="AO115" s="13">
        <f t="shared" si="28"/>
        <v>0.13</v>
      </c>
      <c r="AP115" s="13">
        <f t="shared" si="29"/>
        <v>0.08</v>
      </c>
      <c r="AQ115" s="13" t="str">
        <f t="shared" si="30"/>
        <v>TJ202512101056000329624</v>
      </c>
      <c r="AR115" s="13">
        <f t="shared" si="31"/>
        <v>0.05</v>
      </c>
    </row>
    <row r="116" spans="1:44">
      <c r="A116" s="18" t="s">
        <v>241</v>
      </c>
      <c r="B116" s="12" t="s">
        <v>242</v>
      </c>
      <c r="C116" s="12" t="s">
        <v>46</v>
      </c>
      <c r="D116" s="12" t="s">
        <v>47</v>
      </c>
      <c r="E116" s="12" t="s">
        <v>48</v>
      </c>
      <c r="F116" s="5">
        <f>ROUND(SUMIF([1]开票!$A$2:$A$1750,[1]申请!AQ116,[1]开票!$C$2:$C$1750),2)</f>
        <v>12057.14</v>
      </c>
      <c r="G116" s="5">
        <f>ROUND(SUMIF([1]开票!$A$2:$A$1750,[1]申请!AQ116,[1]开票!$D$2:$D$1750),2)</f>
        <v>343126.36</v>
      </c>
      <c r="H116" s="5">
        <f>ROUND(SUMIF([1]开票!$A$2:$A$1750,[1]申请!AQ116,[1]开票!$E$2:$E$1750),2)</f>
        <v>602.86</v>
      </c>
      <c r="I116" s="5">
        <f t="shared" si="16"/>
        <v>355786.36</v>
      </c>
      <c r="J116" s="12">
        <v>12660</v>
      </c>
      <c r="K116" s="12"/>
      <c r="L116" s="15"/>
      <c r="M116" s="15"/>
      <c r="N116" s="12"/>
      <c r="O116" s="12"/>
      <c r="P116" s="12"/>
      <c r="Q116" s="12"/>
      <c r="R116" s="12"/>
      <c r="S116" s="12">
        <v>280777.53</v>
      </c>
      <c r="T116" s="12"/>
      <c r="U116" s="12">
        <v>60556.83</v>
      </c>
      <c r="V116" s="12">
        <v>1792</v>
      </c>
      <c r="W116" s="12"/>
      <c r="X116" s="12"/>
      <c r="Y116" s="12"/>
      <c r="Z116" s="12"/>
      <c r="AA116" s="12"/>
      <c r="AB116" s="12"/>
      <c r="AC116" s="12"/>
      <c r="AD116" s="12">
        <f t="shared" si="17"/>
        <v>355786.36</v>
      </c>
      <c r="AE116" s="13">
        <f t="shared" si="18"/>
        <v>0</v>
      </c>
      <c r="AF116" s="14">
        <f t="shared" si="19"/>
        <v>0</v>
      </c>
      <c r="AG116" s="13">
        <f t="shared" si="20"/>
        <v>602.86</v>
      </c>
      <c r="AH116" s="13">
        <f t="shared" si="21"/>
        <v>42.2</v>
      </c>
      <c r="AI116" s="13">
        <f t="shared" si="22"/>
        <v>18.09</v>
      </c>
      <c r="AJ116" s="13">
        <f t="shared" si="23"/>
        <v>12.06</v>
      </c>
      <c r="AK116" s="13">
        <f t="shared" si="24"/>
        <v>0</v>
      </c>
      <c r="AL116" s="13">
        <f t="shared" si="25"/>
        <v>0</v>
      </c>
      <c r="AM116" s="13">
        <f t="shared" si="26"/>
        <v>602.86</v>
      </c>
      <c r="AN116" s="13">
        <f t="shared" si="27"/>
        <v>42.2</v>
      </c>
      <c r="AO116" s="13">
        <f t="shared" si="28"/>
        <v>18.09</v>
      </c>
      <c r="AP116" s="13">
        <f t="shared" si="29"/>
        <v>12.06</v>
      </c>
      <c r="AQ116" s="13" t="str">
        <f t="shared" si="30"/>
        <v>TJ202512101104000430040</v>
      </c>
      <c r="AR116" s="13">
        <f t="shared" si="31"/>
        <v>0.05</v>
      </c>
    </row>
    <row r="117" spans="1:44">
      <c r="A117" s="12" t="s">
        <v>243</v>
      </c>
      <c r="B117" s="12" t="s">
        <v>242</v>
      </c>
      <c r="C117" s="12" t="s">
        <v>46</v>
      </c>
      <c r="D117" s="12" t="s">
        <v>47</v>
      </c>
      <c r="E117" s="12" t="s">
        <v>48</v>
      </c>
      <c r="F117" s="5">
        <f>ROUND(SUMIF([1]开票!$A$2:$A$1750,[1]申请!AQ117,[1]开票!$C$2:$C$1750),2)</f>
        <v>0</v>
      </c>
      <c r="G117" s="5">
        <f>ROUND(SUMIF([1]开票!$A$2:$A$1750,[1]申请!AQ117,[1]开票!$D$2:$D$1750),2)</f>
        <v>11467.7</v>
      </c>
      <c r="H117" s="5">
        <f>ROUND(SUMIF([1]开票!$A$2:$A$1750,[1]申请!AQ117,[1]开票!$E$2:$E$1750),2)</f>
        <v>0</v>
      </c>
      <c r="I117" s="5">
        <f t="shared" si="16"/>
        <v>11467.7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>
        <v>11123.67</v>
      </c>
      <c r="T117" s="12">
        <v>344.03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2">
        <f t="shared" si="17"/>
        <v>11467.7</v>
      </c>
      <c r="AE117" s="13">
        <f t="shared" si="18"/>
        <v>0</v>
      </c>
      <c r="AF117" s="14">
        <f t="shared" si="19"/>
        <v>0</v>
      </c>
      <c r="AG117" s="13">
        <f t="shared" si="20"/>
        <v>0</v>
      </c>
      <c r="AH117" s="13">
        <f t="shared" si="21"/>
        <v>0</v>
      </c>
      <c r="AI117" s="13">
        <f t="shared" si="22"/>
        <v>0</v>
      </c>
      <c r="AJ117" s="13">
        <f t="shared" si="23"/>
        <v>0</v>
      </c>
      <c r="AK117" s="13">
        <f t="shared" si="24"/>
        <v>0</v>
      </c>
      <c r="AL117" s="13">
        <f t="shared" si="25"/>
        <v>0</v>
      </c>
      <c r="AM117" s="13">
        <f t="shared" si="26"/>
        <v>0</v>
      </c>
      <c r="AN117" s="13">
        <f t="shared" si="27"/>
        <v>0</v>
      </c>
      <c r="AO117" s="13">
        <f t="shared" si="28"/>
        <v>0</v>
      </c>
      <c r="AP117" s="13">
        <f t="shared" si="29"/>
        <v>0</v>
      </c>
      <c r="AQ117" s="13" t="str">
        <f t="shared" si="30"/>
        <v>TJ202512101122000215496</v>
      </c>
      <c r="AR117" s="13">
        <f t="shared" si="31"/>
        <v>0.05</v>
      </c>
    </row>
    <row r="118" spans="1:44">
      <c r="A118" s="12" t="s">
        <v>244</v>
      </c>
      <c r="B118" s="12" t="s">
        <v>245</v>
      </c>
      <c r="C118" s="12" t="s">
        <v>54</v>
      </c>
      <c r="D118" s="12" t="s">
        <v>47</v>
      </c>
      <c r="E118" s="12" t="s">
        <v>51</v>
      </c>
      <c r="F118" s="5">
        <f>ROUND(SUMIF([1]开票!$A$2:$A$1750,[1]申请!AQ118,[1]开票!$C$2:$C$1750),2)</f>
        <v>17860.96</v>
      </c>
      <c r="G118" s="5">
        <f>ROUND(SUMIF([1]开票!$A$2:$A$1750,[1]申请!AQ118,[1]开票!$D$2:$D$1750),2)</f>
        <v>0</v>
      </c>
      <c r="H118" s="5">
        <f>ROUND(SUMIF([1]开票!$A$2:$A$1750,[1]申请!AQ118,[1]开票!$E$2:$E$1750),2)</f>
        <v>1071.66</v>
      </c>
      <c r="I118" s="5">
        <f t="shared" si="16"/>
        <v>18932.62</v>
      </c>
      <c r="J118" s="12"/>
      <c r="K118" s="12"/>
      <c r="L118" s="28">
        <v>90</v>
      </c>
      <c r="M118" s="12"/>
      <c r="N118" s="12"/>
      <c r="O118" s="12"/>
      <c r="P118" s="12"/>
      <c r="Q118" s="12"/>
      <c r="R118" s="12"/>
      <c r="S118" s="12">
        <v>12876</v>
      </c>
      <c r="T118" s="12"/>
      <c r="U118" s="12">
        <v>3795.86</v>
      </c>
      <c r="V118" s="12">
        <v>660</v>
      </c>
      <c r="W118" s="12">
        <v>226</v>
      </c>
      <c r="X118" s="12">
        <v>90</v>
      </c>
      <c r="Y118" s="12">
        <v>1194.76</v>
      </c>
      <c r="Z118" s="12"/>
      <c r="AA118" s="12"/>
      <c r="AB118" s="12"/>
      <c r="AC118" s="12"/>
      <c r="AD118" s="12">
        <f t="shared" si="17"/>
        <v>18932.62</v>
      </c>
      <c r="AE118" s="13">
        <f t="shared" si="18"/>
        <v>0</v>
      </c>
      <c r="AF118" s="14">
        <f t="shared" si="19"/>
        <v>0</v>
      </c>
      <c r="AG118" s="13">
        <f t="shared" si="20"/>
        <v>1071.66</v>
      </c>
      <c r="AH118" s="13">
        <f t="shared" si="21"/>
        <v>75.02</v>
      </c>
      <c r="AI118" s="13">
        <f t="shared" si="22"/>
        <v>32.15</v>
      </c>
      <c r="AJ118" s="13">
        <f t="shared" si="23"/>
        <v>21.43</v>
      </c>
      <c r="AK118" s="13">
        <f t="shared" si="24"/>
        <v>1066.75</v>
      </c>
      <c r="AL118" s="13">
        <f t="shared" si="25"/>
        <v>128.01</v>
      </c>
      <c r="AM118" s="13">
        <f t="shared" si="26"/>
        <v>4.91</v>
      </c>
      <c r="AN118" s="13">
        <f t="shared" si="27"/>
        <v>0.34</v>
      </c>
      <c r="AO118" s="13">
        <f t="shared" si="28"/>
        <v>0.15</v>
      </c>
      <c r="AP118" s="13">
        <f t="shared" si="29"/>
        <v>0.1</v>
      </c>
      <c r="AQ118" s="13" t="str">
        <f t="shared" si="30"/>
        <v>TJ202512101346000339652</v>
      </c>
      <c r="AR118" s="13">
        <f t="shared" si="31"/>
        <v>0.06</v>
      </c>
    </row>
    <row r="119" spans="1:44">
      <c r="A119" s="12" t="s">
        <v>246</v>
      </c>
      <c r="B119" s="12" t="s">
        <v>247</v>
      </c>
      <c r="C119" s="12" t="s">
        <v>54</v>
      </c>
      <c r="D119" s="12" t="s">
        <v>47</v>
      </c>
      <c r="E119" s="12" t="s">
        <v>51</v>
      </c>
      <c r="F119" s="5">
        <f>ROUND(SUMIF([1]开票!$A$2:$A$1750,[1]申请!AQ119,[1]开票!$C$2:$C$1750),2)</f>
        <v>34615.31</v>
      </c>
      <c r="G119" s="5">
        <f>ROUND(SUMIF([1]开票!$A$2:$A$1750,[1]申请!AQ119,[1]开票!$D$2:$D$1750),2)</f>
        <v>0</v>
      </c>
      <c r="H119" s="5">
        <f>ROUND(SUMIF([1]开票!$A$2:$A$1750,[1]申请!AQ119,[1]开票!$E$2:$E$1750),2)</f>
        <v>2076.92</v>
      </c>
      <c r="I119" s="5">
        <f t="shared" si="16"/>
        <v>36692.23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>
        <v>32867.58</v>
      </c>
      <c r="T119" s="12">
        <v>1294.82</v>
      </c>
      <c r="U119" s="12"/>
      <c r="V119" s="12"/>
      <c r="W119" s="12"/>
      <c r="X119" s="12">
        <v>219.38</v>
      </c>
      <c r="Y119" s="12">
        <v>2310.45</v>
      </c>
      <c r="Z119" s="12"/>
      <c r="AA119" s="12"/>
      <c r="AB119" s="12"/>
      <c r="AC119" s="12"/>
      <c r="AD119" s="12">
        <f t="shared" si="17"/>
        <v>36692.23</v>
      </c>
      <c r="AE119" s="13">
        <f t="shared" si="18"/>
        <v>0</v>
      </c>
      <c r="AF119" s="14">
        <f t="shared" si="19"/>
        <v>0</v>
      </c>
      <c r="AG119" s="13">
        <f t="shared" si="20"/>
        <v>2076.92</v>
      </c>
      <c r="AH119" s="13">
        <f t="shared" si="21"/>
        <v>145.38</v>
      </c>
      <c r="AI119" s="13">
        <f t="shared" si="22"/>
        <v>62.31</v>
      </c>
      <c r="AJ119" s="13">
        <f t="shared" si="23"/>
        <v>41.54</v>
      </c>
      <c r="AK119" s="13">
        <f t="shared" si="24"/>
        <v>2062.90178571429</v>
      </c>
      <c r="AL119" s="13">
        <f t="shared" si="25"/>
        <v>247.55</v>
      </c>
      <c r="AM119" s="13">
        <f t="shared" si="26"/>
        <v>14.02</v>
      </c>
      <c r="AN119" s="13">
        <f t="shared" si="27"/>
        <v>0.98</v>
      </c>
      <c r="AO119" s="13">
        <f t="shared" si="28"/>
        <v>0.42</v>
      </c>
      <c r="AP119" s="13">
        <f t="shared" si="29"/>
        <v>0.28</v>
      </c>
      <c r="AQ119" s="13" t="str">
        <f t="shared" si="30"/>
        <v>TJ202512101415000202770</v>
      </c>
      <c r="AR119" s="13">
        <f t="shared" si="31"/>
        <v>0.06</v>
      </c>
    </row>
    <row r="120" spans="1:44">
      <c r="A120" s="18" t="s">
        <v>248</v>
      </c>
      <c r="B120" s="12" t="s">
        <v>249</v>
      </c>
      <c r="C120" s="12" t="s">
        <v>120</v>
      </c>
      <c r="D120" s="12" t="s">
        <v>121</v>
      </c>
      <c r="E120" s="12" t="s">
        <v>51</v>
      </c>
      <c r="F120" s="5">
        <f>ROUND(SUMIF([1]开票!$A$2:$A$1750,[1]申请!AQ120,[1]开票!$C$2:$C$1750),2)</f>
        <v>259.43</v>
      </c>
      <c r="G120" s="5">
        <f>ROUND(SUMIF([1]开票!$A$2:$A$1750,[1]申请!AQ120,[1]开票!$D$2:$D$1750),2)</f>
        <v>117136.35</v>
      </c>
      <c r="H120" s="5">
        <f>ROUND(SUMIF([1]开票!$A$2:$A$1750,[1]申请!AQ120,[1]开票!$E$2:$E$1750),2)</f>
        <v>15.57</v>
      </c>
      <c r="I120" s="5">
        <f t="shared" si="16"/>
        <v>117411.35</v>
      </c>
      <c r="J120" s="12"/>
      <c r="K120" s="12">
        <v>275</v>
      </c>
      <c r="L120" s="12"/>
      <c r="M120" s="12"/>
      <c r="N120" s="12"/>
      <c r="O120" s="12"/>
      <c r="P120" s="12"/>
      <c r="Q120" s="12"/>
      <c r="R120" s="12"/>
      <c r="S120" s="15"/>
      <c r="T120" s="15"/>
      <c r="U120" s="12">
        <v>88050.35</v>
      </c>
      <c r="V120" s="12">
        <v>29086</v>
      </c>
      <c r="W120" s="12"/>
      <c r="X120" s="12"/>
      <c r="Y120" s="12"/>
      <c r="Z120" s="12"/>
      <c r="AA120" s="12"/>
      <c r="AB120" s="12"/>
      <c r="AC120" s="12"/>
      <c r="AD120" s="12">
        <f t="shared" si="17"/>
        <v>117411.35</v>
      </c>
      <c r="AE120" s="13">
        <f t="shared" si="18"/>
        <v>0</v>
      </c>
      <c r="AF120" s="14">
        <f t="shared" si="19"/>
        <v>0</v>
      </c>
      <c r="AG120" s="13">
        <f t="shared" si="20"/>
        <v>15.57</v>
      </c>
      <c r="AH120" s="13">
        <f t="shared" si="21"/>
        <v>1.09</v>
      </c>
      <c r="AI120" s="13">
        <f t="shared" si="22"/>
        <v>0.47</v>
      </c>
      <c r="AJ120" s="13">
        <f t="shared" si="23"/>
        <v>0.31</v>
      </c>
      <c r="AK120" s="13">
        <f t="shared" si="24"/>
        <v>0</v>
      </c>
      <c r="AL120" s="13">
        <f t="shared" si="25"/>
        <v>0</v>
      </c>
      <c r="AM120" s="13">
        <f t="shared" si="26"/>
        <v>15.57</v>
      </c>
      <c r="AN120" s="13">
        <f t="shared" si="27"/>
        <v>1.09</v>
      </c>
      <c r="AO120" s="13">
        <f t="shared" si="28"/>
        <v>0.47</v>
      </c>
      <c r="AP120" s="13">
        <f t="shared" si="29"/>
        <v>0.31</v>
      </c>
      <c r="AQ120" s="13" t="str">
        <f t="shared" si="30"/>
        <v>TJ202512101520000068179</v>
      </c>
      <c r="AR120" s="13">
        <f t="shared" si="31"/>
        <v>0.06</v>
      </c>
    </row>
    <row r="121" spans="1:44">
      <c r="A121" s="12" t="s">
        <v>250</v>
      </c>
      <c r="B121" s="12" t="s">
        <v>251</v>
      </c>
      <c r="C121" s="12" t="s">
        <v>120</v>
      </c>
      <c r="D121" s="12" t="s">
        <v>121</v>
      </c>
      <c r="E121" s="12" t="s">
        <v>51</v>
      </c>
      <c r="F121" s="5">
        <f>ROUND(SUMIF([1]开票!$A$2:$A$1750,[1]申请!AQ121,[1]开票!$C$2:$C$1750),2)</f>
        <v>5849.06</v>
      </c>
      <c r="G121" s="5">
        <f>ROUND(SUMIF([1]开票!$A$2:$A$1750,[1]申请!AQ121,[1]开票!$D$2:$D$1750),2)</f>
        <v>1462604.07</v>
      </c>
      <c r="H121" s="5">
        <f>ROUND(SUMIF([1]开票!$A$2:$A$1750,[1]申请!AQ121,[1]开票!$E$2:$E$1750),2)</f>
        <v>350.94</v>
      </c>
      <c r="I121" s="5">
        <f t="shared" si="16"/>
        <v>1468804.07</v>
      </c>
      <c r="J121" s="12"/>
      <c r="K121" s="12">
        <v>6200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>
        <v>1061050.07</v>
      </c>
      <c r="V121" s="12">
        <v>401554</v>
      </c>
      <c r="W121" s="12"/>
      <c r="X121" s="12"/>
      <c r="Y121" s="12"/>
      <c r="Z121" s="12"/>
      <c r="AA121" s="12"/>
      <c r="AB121" s="12"/>
      <c r="AC121" s="12"/>
      <c r="AD121" s="12">
        <f t="shared" si="17"/>
        <v>1468804.07</v>
      </c>
      <c r="AE121" s="13">
        <f t="shared" si="18"/>
        <v>0</v>
      </c>
      <c r="AF121" s="14">
        <f t="shared" si="19"/>
        <v>0</v>
      </c>
      <c r="AG121" s="13">
        <f t="shared" si="20"/>
        <v>350.94</v>
      </c>
      <c r="AH121" s="13">
        <f t="shared" si="21"/>
        <v>24.57</v>
      </c>
      <c r="AI121" s="13">
        <f t="shared" si="22"/>
        <v>10.53</v>
      </c>
      <c r="AJ121" s="13">
        <f t="shared" si="23"/>
        <v>7.02</v>
      </c>
      <c r="AK121" s="13">
        <f t="shared" si="24"/>
        <v>0</v>
      </c>
      <c r="AL121" s="13">
        <f t="shared" si="25"/>
        <v>0</v>
      </c>
      <c r="AM121" s="13">
        <f t="shared" si="26"/>
        <v>350.94</v>
      </c>
      <c r="AN121" s="13">
        <f t="shared" si="27"/>
        <v>24.57</v>
      </c>
      <c r="AO121" s="13">
        <f t="shared" si="28"/>
        <v>10.53</v>
      </c>
      <c r="AP121" s="13">
        <f t="shared" si="29"/>
        <v>7.02</v>
      </c>
      <c r="AQ121" s="13" t="str">
        <f t="shared" si="30"/>
        <v>TJ202512101527000472055</v>
      </c>
      <c r="AR121" s="13">
        <f t="shared" si="31"/>
        <v>0.06</v>
      </c>
    </row>
    <row r="122" spans="1:44">
      <c r="A122" s="18" t="s">
        <v>252</v>
      </c>
      <c r="B122" s="12" t="s">
        <v>253</v>
      </c>
      <c r="C122" s="12" t="s">
        <v>46</v>
      </c>
      <c r="D122" s="12" t="s">
        <v>47</v>
      </c>
      <c r="E122" s="12" t="s">
        <v>48</v>
      </c>
      <c r="F122" s="5">
        <f>ROUND(SUMIF([1]开票!$A$2:$A$1750,[1]申请!AQ122,[1]开票!$C$2:$C$1750),2)</f>
        <v>2480</v>
      </c>
      <c r="G122" s="5">
        <f>ROUND(SUMIF([1]开票!$A$2:$A$1750,[1]申请!AQ122,[1]开票!$D$2:$D$1750),2)</f>
        <v>473734.95</v>
      </c>
      <c r="H122" s="5">
        <f>ROUND(SUMIF([1]开票!$A$2:$A$1750,[1]申请!AQ122,[1]开票!$E$2:$E$1750),2)</f>
        <v>124</v>
      </c>
      <c r="I122" s="5">
        <f t="shared" si="16"/>
        <v>476338.95</v>
      </c>
      <c r="J122" s="12">
        <v>2604</v>
      </c>
      <c r="K122" s="12"/>
      <c r="L122" s="12"/>
      <c r="M122" s="12"/>
      <c r="N122" s="12"/>
      <c r="O122" s="12"/>
      <c r="P122" s="12"/>
      <c r="Q122" s="12"/>
      <c r="R122" s="12"/>
      <c r="S122" s="12">
        <v>449429.92</v>
      </c>
      <c r="T122" s="12">
        <v>547.44</v>
      </c>
      <c r="U122" s="15">
        <v>23757.59</v>
      </c>
      <c r="V122" s="12"/>
      <c r="W122" s="12"/>
      <c r="X122" s="12"/>
      <c r="Y122" s="12"/>
      <c r="Z122" s="12"/>
      <c r="AA122" s="12"/>
      <c r="AB122" s="12"/>
      <c r="AC122" s="12"/>
      <c r="AD122" s="12">
        <f t="shared" si="17"/>
        <v>476338.95</v>
      </c>
      <c r="AE122" s="13">
        <f t="shared" si="18"/>
        <v>0</v>
      </c>
      <c r="AF122" s="22">
        <f t="shared" si="19"/>
        <v>0</v>
      </c>
      <c r="AG122" s="21">
        <f t="shared" si="20"/>
        <v>124</v>
      </c>
      <c r="AH122" s="21">
        <f t="shared" si="21"/>
        <v>8.68</v>
      </c>
      <c r="AI122" s="21">
        <f t="shared" si="22"/>
        <v>3.72</v>
      </c>
      <c r="AJ122" s="21">
        <f t="shared" si="23"/>
        <v>2.48</v>
      </c>
      <c r="AK122" s="21">
        <f t="shared" si="24"/>
        <v>0</v>
      </c>
      <c r="AL122" s="21">
        <f t="shared" si="25"/>
        <v>0</v>
      </c>
      <c r="AM122" s="21">
        <f t="shared" si="26"/>
        <v>124</v>
      </c>
      <c r="AN122" s="21">
        <f t="shared" si="27"/>
        <v>8.68</v>
      </c>
      <c r="AO122" s="21">
        <f t="shared" si="28"/>
        <v>3.72</v>
      </c>
      <c r="AP122" s="21">
        <f t="shared" si="29"/>
        <v>2.48</v>
      </c>
      <c r="AQ122" s="21" t="str">
        <f t="shared" si="30"/>
        <v>TJ202512101542000268010</v>
      </c>
      <c r="AR122" s="21">
        <f t="shared" si="31"/>
        <v>0.05</v>
      </c>
    </row>
    <row r="123" spans="1:44">
      <c r="A123" s="12" t="s">
        <v>254</v>
      </c>
      <c r="B123" s="12" t="s">
        <v>177</v>
      </c>
      <c r="C123" s="12" t="s">
        <v>54</v>
      </c>
      <c r="D123" s="12" t="s">
        <v>47</v>
      </c>
      <c r="E123" s="12" t="s">
        <v>51</v>
      </c>
      <c r="F123" s="5">
        <f>ROUND(SUMIF([1]开票!$A$2:$A$1750,[1]申请!AQ123,[1]开票!$C$2:$C$1750),2)</f>
        <v>1286568.85</v>
      </c>
      <c r="G123" s="5">
        <f>ROUND(SUMIF([1]开票!$A$2:$A$1750,[1]申请!AQ123,[1]开票!$D$2:$D$1750),2)</f>
        <v>0</v>
      </c>
      <c r="H123" s="5">
        <f>ROUND(SUMIF([1]开票!$A$2:$A$1750,[1]申请!AQ123,[1]开票!$E$2:$E$1750),2)</f>
        <v>77194.13</v>
      </c>
      <c r="I123" s="5">
        <f t="shared" si="16"/>
        <v>1363762.98</v>
      </c>
      <c r="J123" s="12">
        <v>15596.46</v>
      </c>
      <c r="K123" s="12"/>
      <c r="L123" s="12"/>
      <c r="M123" s="12"/>
      <c r="N123" s="12"/>
      <c r="O123" s="12"/>
      <c r="P123" s="12"/>
      <c r="Q123" s="12"/>
      <c r="R123" s="12"/>
      <c r="S123" s="12">
        <v>848944.71</v>
      </c>
      <c r="T123" s="12">
        <v>16951.29</v>
      </c>
      <c r="U123" s="12">
        <v>298983.53</v>
      </c>
      <c r="V123" s="12">
        <v>88740</v>
      </c>
      <c r="W123" s="12"/>
      <c r="X123" s="12">
        <v>7495.16</v>
      </c>
      <c r="Y123" s="12">
        <v>85874.08</v>
      </c>
      <c r="Z123" s="12"/>
      <c r="AA123" s="12">
        <v>1177.75</v>
      </c>
      <c r="AB123" s="12"/>
      <c r="AC123" s="12"/>
      <c r="AD123" s="12">
        <f t="shared" si="17"/>
        <v>1363762.98</v>
      </c>
      <c r="AE123" s="13">
        <f t="shared" si="18"/>
        <v>0</v>
      </c>
      <c r="AF123" s="14">
        <f t="shared" si="19"/>
        <v>0</v>
      </c>
      <c r="AG123" s="13">
        <f t="shared" si="20"/>
        <v>77194.13</v>
      </c>
      <c r="AH123" s="13">
        <f t="shared" si="21"/>
        <v>5403.59</v>
      </c>
      <c r="AI123" s="13">
        <f t="shared" si="22"/>
        <v>2315.82</v>
      </c>
      <c r="AJ123" s="13">
        <f t="shared" si="23"/>
        <v>1543.88</v>
      </c>
      <c r="AK123" s="13">
        <f t="shared" si="24"/>
        <v>76673.2857142857</v>
      </c>
      <c r="AL123" s="13">
        <f t="shared" si="25"/>
        <v>9200.79</v>
      </c>
      <c r="AM123" s="13">
        <f t="shared" si="26"/>
        <v>520.84</v>
      </c>
      <c r="AN123" s="13">
        <f t="shared" si="27"/>
        <v>36.46</v>
      </c>
      <c r="AO123" s="13">
        <f t="shared" si="28"/>
        <v>15.63</v>
      </c>
      <c r="AP123" s="13">
        <f t="shared" si="29"/>
        <v>10.41</v>
      </c>
      <c r="AQ123" s="13" t="str">
        <f t="shared" si="30"/>
        <v>TJ202512101632000336281</v>
      </c>
      <c r="AR123" s="13">
        <f t="shared" si="31"/>
        <v>0.06</v>
      </c>
    </row>
    <row r="124" spans="1:44">
      <c r="A124" s="18" t="s">
        <v>255</v>
      </c>
      <c r="B124" s="12" t="s">
        <v>189</v>
      </c>
      <c r="C124" s="12" t="s">
        <v>54</v>
      </c>
      <c r="D124" s="12" t="s">
        <v>55</v>
      </c>
      <c r="E124" s="12" t="s">
        <v>51</v>
      </c>
      <c r="F124" s="5">
        <f>ROUND(SUMIF([1]开票!$A$2:$A$1750,[1]申请!AQ124,[1]开票!$C$2:$C$1750),2)</f>
        <v>25391.07</v>
      </c>
      <c r="G124" s="5">
        <f>ROUND(SUMIF([1]开票!$A$2:$A$1750,[1]申请!AQ124,[1]开票!$D$2:$D$1750),2)</f>
        <v>0</v>
      </c>
      <c r="H124" s="5">
        <f>ROUND(SUMIF([1]开票!$A$2:$A$1750,[1]申请!AQ124,[1]开票!$E$2:$E$1750),2)</f>
        <v>1523.46</v>
      </c>
      <c r="I124" s="5">
        <f t="shared" si="16"/>
        <v>26914.53</v>
      </c>
      <c r="J124" s="12"/>
      <c r="K124" s="12"/>
      <c r="L124" s="12">
        <v>26914.53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>
        <f t="shared" si="17"/>
        <v>26914.53</v>
      </c>
      <c r="AE124" s="13">
        <f t="shared" si="18"/>
        <v>0</v>
      </c>
      <c r="AF124" s="14">
        <f t="shared" si="19"/>
        <v>0</v>
      </c>
      <c r="AG124" s="13">
        <f t="shared" si="20"/>
        <v>1523.46</v>
      </c>
      <c r="AH124" s="13">
        <f t="shared" si="21"/>
        <v>106.64</v>
      </c>
      <c r="AI124" s="13">
        <f t="shared" si="22"/>
        <v>45.7</v>
      </c>
      <c r="AJ124" s="13">
        <f t="shared" si="23"/>
        <v>30.47</v>
      </c>
      <c r="AK124" s="13">
        <f t="shared" si="24"/>
        <v>0</v>
      </c>
      <c r="AL124" s="13">
        <f t="shared" si="25"/>
        <v>0</v>
      </c>
      <c r="AM124" s="13">
        <f t="shared" si="26"/>
        <v>1523.46</v>
      </c>
      <c r="AN124" s="13">
        <f t="shared" si="27"/>
        <v>106.64</v>
      </c>
      <c r="AO124" s="13">
        <f t="shared" si="28"/>
        <v>45.7</v>
      </c>
      <c r="AP124" s="13">
        <f t="shared" si="29"/>
        <v>30.47</v>
      </c>
      <c r="AQ124" s="13" t="str">
        <f t="shared" si="30"/>
        <v>TJ202512101656000323655</v>
      </c>
      <c r="AR124" s="13">
        <f t="shared" si="31"/>
        <v>0.06</v>
      </c>
    </row>
    <row r="125" spans="1:44">
      <c r="A125" s="12" t="s">
        <v>256</v>
      </c>
      <c r="B125" s="12" t="s">
        <v>257</v>
      </c>
      <c r="C125" s="12" t="s">
        <v>54</v>
      </c>
      <c r="D125" s="12" t="s">
        <v>55</v>
      </c>
      <c r="E125" s="12" t="s">
        <v>51</v>
      </c>
      <c r="F125" s="5">
        <f>ROUND(SUMIF([1]开票!$A$2:$A$1750,[1]申请!AQ125,[1]开票!$C$2:$C$1750),2)</f>
        <v>52760.18</v>
      </c>
      <c r="G125" s="5">
        <f>ROUND(SUMIF([1]开票!$A$2:$A$1750,[1]申请!AQ125,[1]开票!$D$2:$D$1750),2)</f>
        <v>0</v>
      </c>
      <c r="H125" s="5">
        <f>ROUND(SUMIF([1]开票!$A$2:$A$1750,[1]申请!AQ125,[1]开票!$E$2:$E$1750),2)</f>
        <v>3165.61</v>
      </c>
      <c r="I125" s="5">
        <f t="shared" si="16"/>
        <v>55925.79</v>
      </c>
      <c r="J125" s="12"/>
      <c r="K125" s="12"/>
      <c r="L125" s="12">
        <v>55925.79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>
        <f t="shared" si="17"/>
        <v>55925.79</v>
      </c>
      <c r="AE125" s="13">
        <f t="shared" si="18"/>
        <v>0</v>
      </c>
      <c r="AF125" s="14">
        <f t="shared" si="19"/>
        <v>0</v>
      </c>
      <c r="AG125" s="13">
        <f t="shared" si="20"/>
        <v>3165.61</v>
      </c>
      <c r="AH125" s="13">
        <f t="shared" si="21"/>
        <v>221.59</v>
      </c>
      <c r="AI125" s="13">
        <f t="shared" si="22"/>
        <v>94.97</v>
      </c>
      <c r="AJ125" s="13">
        <f t="shared" si="23"/>
        <v>63.31</v>
      </c>
      <c r="AK125" s="13">
        <f t="shared" si="24"/>
        <v>0</v>
      </c>
      <c r="AL125" s="13">
        <f t="shared" si="25"/>
        <v>0</v>
      </c>
      <c r="AM125" s="13">
        <f t="shared" si="26"/>
        <v>3165.61</v>
      </c>
      <c r="AN125" s="13">
        <f t="shared" si="27"/>
        <v>221.59</v>
      </c>
      <c r="AO125" s="13">
        <f t="shared" si="28"/>
        <v>94.97</v>
      </c>
      <c r="AP125" s="13">
        <f t="shared" si="29"/>
        <v>63.31</v>
      </c>
      <c r="AQ125" s="13" t="str">
        <f t="shared" si="30"/>
        <v>TJ202512101756000575648</v>
      </c>
      <c r="AR125" s="13">
        <f t="shared" si="31"/>
        <v>0.06</v>
      </c>
    </row>
    <row r="126" spans="1:44">
      <c r="A126" s="19" t="s">
        <v>258</v>
      </c>
      <c r="B126" s="12" t="s">
        <v>259</v>
      </c>
      <c r="C126" s="12" t="s">
        <v>260</v>
      </c>
      <c r="D126" s="12" t="s">
        <v>47</v>
      </c>
      <c r="E126" s="12" t="s">
        <v>51</v>
      </c>
      <c r="F126" s="5">
        <f>ROUND(SUMIF([1]开票!$A$2:$A$1750,[1]申请!AQ126,[1]开票!$C$2:$C$1750),2)</f>
        <v>1666821.95</v>
      </c>
      <c r="G126" s="5">
        <f>ROUND(SUMIF([1]开票!$A$2:$A$1750,[1]申请!AQ126,[1]开票!$D$2:$D$1750),2)</f>
        <v>0</v>
      </c>
      <c r="H126" s="5">
        <f>ROUND(SUMIF([1]开票!$A$2:$A$1750,[1]申请!AQ126,[1]开票!$E$2:$E$1750),2)</f>
        <v>100009.32</v>
      </c>
      <c r="I126" s="5">
        <f t="shared" si="16"/>
        <v>1766831.27</v>
      </c>
      <c r="J126" s="12">
        <v>10274.91</v>
      </c>
      <c r="K126" s="12"/>
      <c r="L126" s="12"/>
      <c r="M126" s="12"/>
      <c r="N126" s="12"/>
      <c r="O126" s="12"/>
      <c r="P126" s="12"/>
      <c r="Q126" s="12"/>
      <c r="R126" s="12"/>
      <c r="S126" s="15">
        <v>1393928.15</v>
      </c>
      <c r="T126" s="12">
        <v>17066.3</v>
      </c>
      <c r="U126" s="12">
        <v>176123.81</v>
      </c>
      <c r="V126" s="12">
        <v>40240</v>
      </c>
      <c r="W126" s="12">
        <v>1892</v>
      </c>
      <c r="X126" s="12"/>
      <c r="Y126" s="15">
        <v>111369.03</v>
      </c>
      <c r="Z126" s="15"/>
      <c r="AA126" s="12">
        <v>15937.07</v>
      </c>
      <c r="AB126" s="12"/>
      <c r="AC126" s="12"/>
      <c r="AD126" s="12">
        <f t="shared" si="17"/>
        <v>1766831.27</v>
      </c>
      <c r="AE126" s="13">
        <f t="shared" si="18"/>
        <v>0</v>
      </c>
      <c r="AF126" s="14">
        <f t="shared" si="19"/>
        <v>0</v>
      </c>
      <c r="AG126" s="13">
        <f t="shared" si="20"/>
        <v>100009.32</v>
      </c>
      <c r="AH126" s="13">
        <f t="shared" si="21"/>
        <v>7000.65</v>
      </c>
      <c r="AI126" s="13">
        <f t="shared" si="22"/>
        <v>3000.28</v>
      </c>
      <c r="AJ126" s="13">
        <f t="shared" si="23"/>
        <v>2000.19</v>
      </c>
      <c r="AK126" s="13">
        <f t="shared" si="24"/>
        <v>99436.6339285714</v>
      </c>
      <c r="AL126" s="13">
        <f t="shared" si="25"/>
        <v>11932.4</v>
      </c>
      <c r="AM126" s="13">
        <f t="shared" si="26"/>
        <v>572.69</v>
      </c>
      <c r="AN126" s="13">
        <f t="shared" si="27"/>
        <v>40.09</v>
      </c>
      <c r="AO126" s="13">
        <f t="shared" si="28"/>
        <v>17.18</v>
      </c>
      <c r="AP126" s="13">
        <f t="shared" si="29"/>
        <v>11.45</v>
      </c>
      <c r="AQ126" s="13" t="str">
        <f t="shared" si="30"/>
        <v>TJ202512101806000408606</v>
      </c>
      <c r="AR126" s="13">
        <f t="shared" si="31"/>
        <v>0.06</v>
      </c>
    </row>
    <row r="127" spans="1:44">
      <c r="A127" s="12" t="s">
        <v>261</v>
      </c>
      <c r="B127" s="12" t="s">
        <v>262</v>
      </c>
      <c r="C127" s="12" t="s">
        <v>120</v>
      </c>
      <c r="D127" s="12" t="s">
        <v>121</v>
      </c>
      <c r="E127" s="12" t="s">
        <v>48</v>
      </c>
      <c r="F127" s="5">
        <f>ROUND(SUMIF([1]开票!$A$2:$A$1750,[1]申请!AQ127,[1]开票!$C$2:$C$1750),2)</f>
        <v>3233.33</v>
      </c>
      <c r="G127" s="5">
        <f>ROUND(SUMIF([1]开票!$A$2:$A$1750,[1]申请!AQ127,[1]开票!$D$2:$D$1750),2)</f>
        <v>1388805.4</v>
      </c>
      <c r="H127" s="5">
        <f>ROUND(SUMIF([1]开票!$A$2:$A$1750,[1]申请!AQ127,[1]开票!$E$2:$E$1750),2)</f>
        <v>161.67</v>
      </c>
      <c r="I127" s="5">
        <f t="shared" si="16"/>
        <v>1392200.4</v>
      </c>
      <c r="J127" s="12"/>
      <c r="K127" s="12">
        <v>3395</v>
      </c>
      <c r="L127" s="12"/>
      <c r="M127" s="12"/>
      <c r="N127" s="12"/>
      <c r="O127" s="12"/>
      <c r="P127" s="12"/>
      <c r="Q127" s="12"/>
      <c r="R127" s="12"/>
      <c r="S127" s="12">
        <v>1306131.05</v>
      </c>
      <c r="T127" s="12">
        <v>82674.35</v>
      </c>
      <c r="U127" s="12"/>
      <c r="V127" s="12"/>
      <c r="W127" s="12"/>
      <c r="X127" s="12"/>
      <c r="Y127" s="12"/>
      <c r="Z127" s="12"/>
      <c r="AA127" s="12"/>
      <c r="AB127" s="12"/>
      <c r="AC127" s="12"/>
      <c r="AD127" s="12">
        <f t="shared" si="17"/>
        <v>1392200.4</v>
      </c>
      <c r="AE127" s="13">
        <f t="shared" si="18"/>
        <v>0</v>
      </c>
      <c r="AF127" s="14">
        <f t="shared" si="19"/>
        <v>0</v>
      </c>
      <c r="AG127" s="13">
        <f t="shared" si="20"/>
        <v>161.67</v>
      </c>
      <c r="AH127" s="13">
        <f t="shared" si="21"/>
        <v>11.32</v>
      </c>
      <c r="AI127" s="13">
        <f t="shared" si="22"/>
        <v>4.85</v>
      </c>
      <c r="AJ127" s="13">
        <f t="shared" si="23"/>
        <v>3.23</v>
      </c>
      <c r="AK127" s="13">
        <f t="shared" si="24"/>
        <v>0</v>
      </c>
      <c r="AL127" s="13">
        <f t="shared" si="25"/>
        <v>0</v>
      </c>
      <c r="AM127" s="13">
        <f t="shared" si="26"/>
        <v>161.67</v>
      </c>
      <c r="AN127" s="13">
        <f t="shared" si="27"/>
        <v>11.32</v>
      </c>
      <c r="AO127" s="13">
        <f t="shared" si="28"/>
        <v>4.85</v>
      </c>
      <c r="AP127" s="13">
        <f t="shared" si="29"/>
        <v>3.23</v>
      </c>
      <c r="AQ127" s="13" t="str">
        <f t="shared" si="30"/>
        <v>TJ202512102319000270323</v>
      </c>
      <c r="AR127" s="13">
        <f t="shared" si="31"/>
        <v>0.05</v>
      </c>
    </row>
    <row r="128" spans="1:44">
      <c r="A128" s="12" t="s">
        <v>263</v>
      </c>
      <c r="B128" s="12" t="s">
        <v>262</v>
      </c>
      <c r="C128" s="12" t="s">
        <v>120</v>
      </c>
      <c r="D128" s="12" t="s">
        <v>121</v>
      </c>
      <c r="E128" s="12" t="s">
        <v>48</v>
      </c>
      <c r="F128" s="5">
        <f>ROUND(SUMIF([1]开票!$A$2:$A$1750,[1]申请!AQ128,[1]开票!$C$2:$C$1750),2)</f>
        <v>3704.76</v>
      </c>
      <c r="G128" s="5">
        <f>ROUND(SUMIF([1]开票!$A$2:$A$1750,[1]申请!AQ128,[1]开票!$D$2:$D$1750),2)</f>
        <v>1054385.74</v>
      </c>
      <c r="H128" s="5">
        <f>ROUND(SUMIF([1]开票!$A$2:$A$1750,[1]申请!AQ128,[1]开票!$E$2:$E$1750),2)</f>
        <v>185.24</v>
      </c>
      <c r="I128" s="5">
        <f t="shared" si="16"/>
        <v>1058275.74</v>
      </c>
      <c r="J128" s="12"/>
      <c r="K128" s="12">
        <v>3890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>
        <v>628011.49</v>
      </c>
      <c r="V128" s="12">
        <v>418503.84</v>
      </c>
      <c r="W128" s="12"/>
      <c r="X128" s="12">
        <v>7870.41</v>
      </c>
      <c r="Y128" s="12"/>
      <c r="Z128" s="12"/>
      <c r="AA128" s="12"/>
      <c r="AB128" s="12"/>
      <c r="AC128" s="12"/>
      <c r="AD128" s="12">
        <f t="shared" si="17"/>
        <v>1058275.74</v>
      </c>
      <c r="AE128" s="13">
        <f t="shared" si="18"/>
        <v>0</v>
      </c>
      <c r="AF128" s="14">
        <f t="shared" si="19"/>
        <v>0</v>
      </c>
      <c r="AG128" s="13">
        <f t="shared" si="20"/>
        <v>185.24</v>
      </c>
      <c r="AH128" s="13">
        <f t="shared" si="21"/>
        <v>12.97</v>
      </c>
      <c r="AI128" s="13">
        <f t="shared" si="22"/>
        <v>5.56</v>
      </c>
      <c r="AJ128" s="13">
        <f t="shared" si="23"/>
        <v>3.7</v>
      </c>
      <c r="AK128" s="13">
        <f t="shared" si="24"/>
        <v>0</v>
      </c>
      <c r="AL128" s="13">
        <f t="shared" si="25"/>
        <v>0</v>
      </c>
      <c r="AM128" s="13">
        <f t="shared" si="26"/>
        <v>185.24</v>
      </c>
      <c r="AN128" s="13">
        <f t="shared" si="27"/>
        <v>12.97</v>
      </c>
      <c r="AO128" s="13">
        <f t="shared" si="28"/>
        <v>5.56</v>
      </c>
      <c r="AP128" s="13">
        <f t="shared" si="29"/>
        <v>3.7</v>
      </c>
      <c r="AQ128" s="13" t="str">
        <f t="shared" si="30"/>
        <v>TJ202512102329000567909</v>
      </c>
      <c r="AR128" s="13">
        <f t="shared" si="31"/>
        <v>0.05</v>
      </c>
    </row>
    <row r="129" spans="1:44">
      <c r="A129" s="12" t="s">
        <v>264</v>
      </c>
      <c r="B129" s="12" t="s">
        <v>265</v>
      </c>
      <c r="C129" s="12" t="s">
        <v>54</v>
      </c>
      <c r="D129" s="12" t="s">
        <v>55</v>
      </c>
      <c r="E129" s="12" t="s">
        <v>51</v>
      </c>
      <c r="F129" s="5">
        <f>ROUND(SUMIF([1]开票!$A$2:$A$1750,[1]申请!AQ129,[1]开票!$C$2:$C$1750),2)</f>
        <v>75442.26</v>
      </c>
      <c r="G129" s="5">
        <f>ROUND(SUMIF([1]开票!$A$2:$A$1750,[1]申请!AQ129,[1]开票!$D$2:$D$1750),2)</f>
        <v>0</v>
      </c>
      <c r="H129" s="5">
        <f>ROUND(SUMIF([1]开票!$A$2:$A$1750,[1]申请!AQ129,[1]开票!$E$2:$E$1750),2)</f>
        <v>4526.54</v>
      </c>
      <c r="I129" s="5">
        <f t="shared" si="16"/>
        <v>79968.8</v>
      </c>
      <c r="J129" s="12"/>
      <c r="K129" s="12"/>
      <c r="L129" s="12">
        <v>79968.8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>
        <f t="shared" si="17"/>
        <v>79968.8</v>
      </c>
      <c r="AE129" s="13">
        <f t="shared" si="18"/>
        <v>0</v>
      </c>
      <c r="AF129" s="14">
        <f t="shared" si="19"/>
        <v>0</v>
      </c>
      <c r="AG129" s="13">
        <f t="shared" si="20"/>
        <v>4526.54</v>
      </c>
      <c r="AH129" s="13">
        <f t="shared" si="21"/>
        <v>316.86</v>
      </c>
      <c r="AI129" s="13">
        <f t="shared" si="22"/>
        <v>135.8</v>
      </c>
      <c r="AJ129" s="13">
        <f t="shared" si="23"/>
        <v>90.53</v>
      </c>
      <c r="AK129" s="13">
        <f t="shared" si="24"/>
        <v>0</v>
      </c>
      <c r="AL129" s="13">
        <f t="shared" si="25"/>
        <v>0</v>
      </c>
      <c r="AM129" s="13">
        <f t="shared" si="26"/>
        <v>4526.54</v>
      </c>
      <c r="AN129" s="13">
        <f t="shared" si="27"/>
        <v>316.86</v>
      </c>
      <c r="AO129" s="13">
        <f t="shared" si="28"/>
        <v>135.8</v>
      </c>
      <c r="AP129" s="13">
        <f t="shared" si="29"/>
        <v>90.53</v>
      </c>
      <c r="AQ129" s="13" t="str">
        <f t="shared" si="30"/>
        <v>TJ202512111121000533537</v>
      </c>
      <c r="AR129" s="13">
        <f t="shared" si="31"/>
        <v>0.06</v>
      </c>
    </row>
    <row r="130" spans="1:44">
      <c r="A130" s="12" t="s">
        <v>266</v>
      </c>
      <c r="B130" s="12" t="s">
        <v>267</v>
      </c>
      <c r="C130" s="12" t="s">
        <v>120</v>
      </c>
      <c r="D130" s="12" t="s">
        <v>47</v>
      </c>
      <c r="E130" s="12" t="s">
        <v>268</v>
      </c>
      <c r="F130" s="5">
        <f>ROUND(SUMIF([1]开票!$A$2:$A$1750,[1]申请!AQ130,[1]开票!$C$2:$C$1750),2)</f>
        <v>0</v>
      </c>
      <c r="G130" s="5">
        <f>ROUND(SUMIF([1]开票!$A$2:$A$1750,[1]申请!AQ130,[1]开票!$D$2:$D$1750),2)</f>
        <v>807.69</v>
      </c>
      <c r="H130" s="5">
        <f>ROUND(SUMIF([1]开票!$A$2:$A$1750,[1]申请!AQ130,[1]开票!$E$2:$E$1750),2)</f>
        <v>0</v>
      </c>
      <c r="I130" s="5">
        <f t="shared" ref="I130:I193" si="32">SUM(F130:H130)</f>
        <v>807.69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>
        <v>807.69</v>
      </c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>
        <f t="shared" ref="AD130:AD193" si="33">SUM(J130:AC130)</f>
        <v>807.69</v>
      </c>
      <c r="AE130" s="13">
        <f t="shared" ref="AE130:AE193" si="34">AD130-SUM(J130:AC130)</f>
        <v>0</v>
      </c>
      <c r="AF130" s="14">
        <f t="shared" ref="AF130:AF193" si="35">AD130-I130</f>
        <v>0</v>
      </c>
      <c r="AG130" s="13">
        <f t="shared" ref="AG130:AG193" si="36">ROUND(H130,2)</f>
        <v>0</v>
      </c>
      <c r="AH130" s="13">
        <f t="shared" ref="AH130:AH193" si="37">ROUND(AG130*0.07,2)</f>
        <v>0</v>
      </c>
      <c r="AI130" s="13">
        <f t="shared" ref="AI130:AI193" si="38">ROUND(AG130*0.03,2)</f>
        <v>0</v>
      </c>
      <c r="AJ130" s="13">
        <f t="shared" ref="AJ130:AJ193" si="39">ROUND(AG130*0.02,2)</f>
        <v>0</v>
      </c>
      <c r="AK130" s="13">
        <f t="shared" ref="AK130:AK193" si="40">IF(AR130,Y130/(AR130*1.12)*AR130,0)</f>
        <v>0</v>
      </c>
      <c r="AL130" s="13">
        <f t="shared" ref="AL130:AL193" si="41">ROUND(Y130-AK130,2)</f>
        <v>0</v>
      </c>
      <c r="AM130" s="13">
        <f t="shared" ref="AM130:AM193" si="42">ROUND(AG130-AK130,2)</f>
        <v>0</v>
      </c>
      <c r="AN130" s="13">
        <f t="shared" ref="AN130:AN193" si="43">ROUND(AM130*0.07,2)</f>
        <v>0</v>
      </c>
      <c r="AO130" s="13">
        <f t="shared" ref="AO130:AO193" si="44">ROUND(AM130*0.03,2)</f>
        <v>0</v>
      </c>
      <c r="AP130" s="13">
        <f t="shared" ref="AP130:AP193" si="45">ROUND(AH130+AI130+AJ130-AL130-AN130-AO130,2)</f>
        <v>0</v>
      </c>
      <c r="AQ130" s="13" t="str">
        <f t="shared" ref="AQ130:AQ193" si="46">"TJ"&amp;A130</f>
        <v>TJ202512111405000561636</v>
      </c>
      <c r="AR130" s="13">
        <f t="shared" ref="AR130:AR193" si="47">IF(E130="无全额",0,MID(E130,4,2)*1)</f>
        <v>0</v>
      </c>
    </row>
    <row r="131" spans="1:44">
      <c r="A131" s="12" t="s">
        <v>269</v>
      </c>
      <c r="B131" s="12" t="s">
        <v>270</v>
      </c>
      <c r="C131" s="12" t="s">
        <v>54</v>
      </c>
      <c r="D131" s="12" t="s">
        <v>60</v>
      </c>
      <c r="E131" s="12" t="s">
        <v>65</v>
      </c>
      <c r="F131" s="5">
        <f>ROUND(SUMIF([1]开票!$A$2:$A$1750,[1]申请!AQ131,[1]开票!$C$2:$C$1750),2)</f>
        <v>254381.22</v>
      </c>
      <c r="G131" s="5">
        <f>ROUND(SUMIF([1]开票!$A$2:$A$1750,[1]申请!AQ131,[1]开票!$D$2:$D$1750),2)</f>
        <v>0</v>
      </c>
      <c r="H131" s="5">
        <f>ROUND(SUMIF([1]开票!$A$2:$A$1750,[1]申请!AQ131,[1]开票!$E$2:$E$1750),2)</f>
        <v>15262.88</v>
      </c>
      <c r="I131" s="5">
        <f t="shared" si="32"/>
        <v>269644.1</v>
      </c>
      <c r="J131" s="12"/>
      <c r="K131" s="12"/>
      <c r="L131" s="12"/>
      <c r="M131" s="12"/>
      <c r="N131" s="12"/>
      <c r="O131" s="12"/>
      <c r="P131" s="12"/>
      <c r="Q131" s="12">
        <v>12595.39</v>
      </c>
      <c r="R131" s="12"/>
      <c r="S131" s="12"/>
      <c r="T131" s="12">
        <v>860.32</v>
      </c>
      <c r="U131" s="12"/>
      <c r="V131" s="12"/>
      <c r="W131" s="12"/>
      <c r="X131" s="12"/>
      <c r="Y131" s="12"/>
      <c r="Z131" s="23">
        <v>256188.39</v>
      </c>
      <c r="AA131" s="30"/>
      <c r="AB131" s="30"/>
      <c r="AC131" s="12"/>
      <c r="AD131" s="12">
        <f t="shared" si="33"/>
        <v>269644.1</v>
      </c>
      <c r="AE131" s="13">
        <f t="shared" si="34"/>
        <v>0</v>
      </c>
      <c r="AF131" s="14">
        <f t="shared" si="35"/>
        <v>0</v>
      </c>
      <c r="AG131" s="13">
        <f t="shared" si="36"/>
        <v>15262.88</v>
      </c>
      <c r="AH131" s="13">
        <f t="shared" si="37"/>
        <v>1068.4</v>
      </c>
      <c r="AI131" s="13">
        <f t="shared" si="38"/>
        <v>457.89</v>
      </c>
      <c r="AJ131" s="13">
        <f t="shared" si="39"/>
        <v>305.26</v>
      </c>
      <c r="AK131" s="13">
        <f t="shared" si="40"/>
        <v>0</v>
      </c>
      <c r="AL131" s="13">
        <f t="shared" si="41"/>
        <v>0</v>
      </c>
      <c r="AM131" s="13">
        <f t="shared" si="42"/>
        <v>15262.88</v>
      </c>
      <c r="AN131" s="13">
        <f t="shared" si="43"/>
        <v>1068.4</v>
      </c>
      <c r="AO131" s="13">
        <f t="shared" si="44"/>
        <v>457.89</v>
      </c>
      <c r="AP131" s="13">
        <f t="shared" si="45"/>
        <v>305.26</v>
      </c>
      <c r="AQ131" s="13" t="str">
        <f t="shared" si="46"/>
        <v>TJ202512111635000160076</v>
      </c>
      <c r="AR131" s="13">
        <f t="shared" si="47"/>
        <v>0.06</v>
      </c>
    </row>
    <row r="132" spans="1:44">
      <c r="A132" s="12" t="s">
        <v>271</v>
      </c>
      <c r="B132" s="12" t="s">
        <v>177</v>
      </c>
      <c r="C132" s="12" t="s">
        <v>54</v>
      </c>
      <c r="D132" s="12" t="s">
        <v>47</v>
      </c>
      <c r="E132" s="12" t="s">
        <v>51</v>
      </c>
      <c r="F132" s="5">
        <f>ROUND(SUMIF([1]开票!$A$2:$A$1750,[1]申请!AQ132,[1]开票!$C$2:$C$1750),2)</f>
        <v>190226.97</v>
      </c>
      <c r="G132" s="5">
        <f>ROUND(SUMIF([1]开票!$A$2:$A$1750,[1]申请!AQ132,[1]开票!$D$2:$D$1750),2)</f>
        <v>0</v>
      </c>
      <c r="H132" s="5">
        <f>ROUND(SUMIF([1]开票!$A$2:$A$1750,[1]申请!AQ132,[1]开票!$E$2:$E$1750),2)</f>
        <v>11413.62</v>
      </c>
      <c r="I132" s="5">
        <f t="shared" si="32"/>
        <v>201640.59</v>
      </c>
      <c r="J132" s="12">
        <v>932.48</v>
      </c>
      <c r="K132" s="12"/>
      <c r="L132" s="12"/>
      <c r="M132" s="12"/>
      <c r="N132" s="12"/>
      <c r="O132" s="12"/>
      <c r="P132" s="12"/>
      <c r="Q132" s="12"/>
      <c r="R132" s="12"/>
      <c r="S132" s="12">
        <v>111534.66</v>
      </c>
      <c r="T132" s="12">
        <v>10700.84</v>
      </c>
      <c r="U132" s="12">
        <v>50147.1</v>
      </c>
      <c r="V132" s="12">
        <v>13590</v>
      </c>
      <c r="W132" s="12"/>
      <c r="X132" s="12">
        <v>2038.5</v>
      </c>
      <c r="Y132" s="12">
        <v>12697.01</v>
      </c>
      <c r="Z132" s="12"/>
      <c r="AA132" s="12"/>
      <c r="AB132" s="12"/>
      <c r="AC132" s="12"/>
      <c r="AD132" s="12">
        <f t="shared" si="33"/>
        <v>201640.59</v>
      </c>
      <c r="AE132" s="13">
        <f t="shared" si="34"/>
        <v>0</v>
      </c>
      <c r="AF132" s="14">
        <f t="shared" si="35"/>
        <v>0</v>
      </c>
      <c r="AG132" s="13">
        <f t="shared" si="36"/>
        <v>11413.62</v>
      </c>
      <c r="AH132" s="13">
        <f t="shared" si="37"/>
        <v>798.95</v>
      </c>
      <c r="AI132" s="13">
        <f t="shared" si="38"/>
        <v>342.41</v>
      </c>
      <c r="AJ132" s="13">
        <f t="shared" si="39"/>
        <v>228.27</v>
      </c>
      <c r="AK132" s="13">
        <f t="shared" si="40"/>
        <v>11336.6160714286</v>
      </c>
      <c r="AL132" s="13">
        <f t="shared" si="41"/>
        <v>1360.39</v>
      </c>
      <c r="AM132" s="13">
        <f t="shared" si="42"/>
        <v>77</v>
      </c>
      <c r="AN132" s="13">
        <f t="shared" si="43"/>
        <v>5.39</v>
      </c>
      <c r="AO132" s="13">
        <f t="shared" si="44"/>
        <v>2.31</v>
      </c>
      <c r="AP132" s="13">
        <f t="shared" si="45"/>
        <v>1.54</v>
      </c>
      <c r="AQ132" s="13" t="str">
        <f t="shared" si="46"/>
        <v>TJ202512111643000460691</v>
      </c>
      <c r="AR132" s="13">
        <f t="shared" si="47"/>
        <v>0.06</v>
      </c>
    </row>
    <row r="133" spans="1:44">
      <c r="A133" s="12" t="s">
        <v>272</v>
      </c>
      <c r="B133" s="12" t="s">
        <v>177</v>
      </c>
      <c r="C133" s="12" t="s">
        <v>54</v>
      </c>
      <c r="D133" s="12" t="s">
        <v>47</v>
      </c>
      <c r="E133" s="12" t="s">
        <v>51</v>
      </c>
      <c r="F133" s="5">
        <f>ROUND(SUMIF([1]开票!$A$2:$A$1750,[1]申请!AQ133,[1]开票!$C$2:$C$1750),2)</f>
        <v>822883.46</v>
      </c>
      <c r="G133" s="5">
        <f>ROUND(SUMIF([1]开票!$A$2:$A$1750,[1]申请!AQ133,[1]开票!$D$2:$D$1750),2)</f>
        <v>0</v>
      </c>
      <c r="H133" s="5">
        <f>ROUND(SUMIF([1]开票!$A$2:$A$1750,[1]申请!AQ133,[1]开票!$E$2:$E$1750),2)</f>
        <v>49372.99</v>
      </c>
      <c r="I133" s="5">
        <f t="shared" si="32"/>
        <v>872256.45</v>
      </c>
      <c r="J133" s="12">
        <v>4830.12</v>
      </c>
      <c r="K133" s="12"/>
      <c r="L133" s="12"/>
      <c r="M133" s="12"/>
      <c r="N133" s="12"/>
      <c r="O133" s="12"/>
      <c r="P133" s="12"/>
      <c r="Q133" s="12"/>
      <c r="R133" s="12"/>
      <c r="S133" s="12">
        <v>496613.26</v>
      </c>
      <c r="T133" s="12">
        <v>32690.68</v>
      </c>
      <c r="U133" s="12">
        <v>214124.16</v>
      </c>
      <c r="V133" s="12">
        <v>58438</v>
      </c>
      <c r="W133" s="12"/>
      <c r="X133" s="12">
        <v>8705.58</v>
      </c>
      <c r="Y133" s="12">
        <v>54924.65</v>
      </c>
      <c r="Z133" s="12"/>
      <c r="AA133" s="12">
        <v>1930</v>
      </c>
      <c r="AB133" s="12"/>
      <c r="AC133" s="12"/>
      <c r="AD133" s="12">
        <f t="shared" si="33"/>
        <v>872256.45</v>
      </c>
      <c r="AE133" s="13">
        <f t="shared" si="34"/>
        <v>0</v>
      </c>
      <c r="AF133" s="14">
        <f t="shared" si="35"/>
        <v>0</v>
      </c>
      <c r="AG133" s="13">
        <f t="shared" si="36"/>
        <v>49372.99</v>
      </c>
      <c r="AH133" s="13">
        <f t="shared" si="37"/>
        <v>3456.11</v>
      </c>
      <c r="AI133" s="13">
        <f t="shared" si="38"/>
        <v>1481.19</v>
      </c>
      <c r="AJ133" s="13">
        <f t="shared" si="39"/>
        <v>987.46</v>
      </c>
      <c r="AK133" s="13">
        <f t="shared" si="40"/>
        <v>49039.8660714286</v>
      </c>
      <c r="AL133" s="13">
        <f t="shared" si="41"/>
        <v>5884.78</v>
      </c>
      <c r="AM133" s="13">
        <f t="shared" si="42"/>
        <v>333.12</v>
      </c>
      <c r="AN133" s="13">
        <f t="shared" si="43"/>
        <v>23.32</v>
      </c>
      <c r="AO133" s="13">
        <f t="shared" si="44"/>
        <v>9.99</v>
      </c>
      <c r="AP133" s="13">
        <f t="shared" si="45"/>
        <v>6.67</v>
      </c>
      <c r="AQ133" s="13" t="str">
        <f t="shared" si="46"/>
        <v>TJ202512111652000587110</v>
      </c>
      <c r="AR133" s="13">
        <f t="shared" si="47"/>
        <v>0.06</v>
      </c>
    </row>
    <row r="134" spans="1:44">
      <c r="A134" s="18" t="s">
        <v>273</v>
      </c>
      <c r="B134" s="12" t="s">
        <v>236</v>
      </c>
      <c r="C134" s="12" t="s">
        <v>46</v>
      </c>
      <c r="D134" s="12" t="s">
        <v>47</v>
      </c>
      <c r="E134" s="12" t="s">
        <v>48</v>
      </c>
      <c r="F134" s="5">
        <f>ROUND(SUMIF([1]开票!$A$2:$A$1750,[1]申请!AQ134,[1]开票!$C$2:$C$1750),2)</f>
        <v>23.81</v>
      </c>
      <c r="G134" s="5">
        <f>ROUND(SUMIF([1]开票!$A$2:$A$1750,[1]申请!AQ134,[1]开票!$D$2:$D$1750),2)</f>
        <v>1950.27</v>
      </c>
      <c r="H134" s="5">
        <f>ROUND(SUMIF([1]开票!$A$2:$A$1750,[1]申请!AQ134,[1]开票!$E$2:$E$1750),2)</f>
        <v>1.19</v>
      </c>
      <c r="I134" s="5">
        <f t="shared" si="32"/>
        <v>1975.27</v>
      </c>
      <c r="J134" s="12">
        <v>25</v>
      </c>
      <c r="K134" s="12"/>
      <c r="L134" s="15"/>
      <c r="M134" s="12"/>
      <c r="N134" s="12"/>
      <c r="O134" s="12"/>
      <c r="P134" s="12"/>
      <c r="Q134" s="12"/>
      <c r="R134" s="12"/>
      <c r="S134" s="12"/>
      <c r="T134" s="12"/>
      <c r="U134" s="12">
        <v>1689.22</v>
      </c>
      <c r="V134" s="12">
        <v>236</v>
      </c>
      <c r="W134" s="12"/>
      <c r="X134" s="12">
        <v>25.05</v>
      </c>
      <c r="Y134" s="12"/>
      <c r="Z134" s="12"/>
      <c r="AA134" s="12"/>
      <c r="AB134" s="12"/>
      <c r="AC134" s="12"/>
      <c r="AD134" s="12">
        <f t="shared" si="33"/>
        <v>1975.27</v>
      </c>
      <c r="AE134" s="13">
        <f t="shared" si="34"/>
        <v>0</v>
      </c>
      <c r="AF134" s="14">
        <f t="shared" si="35"/>
        <v>0</v>
      </c>
      <c r="AG134" s="13">
        <f t="shared" si="36"/>
        <v>1.19</v>
      </c>
      <c r="AH134" s="13">
        <f t="shared" si="37"/>
        <v>0.08</v>
      </c>
      <c r="AI134" s="13">
        <f t="shared" si="38"/>
        <v>0.04</v>
      </c>
      <c r="AJ134" s="13">
        <f t="shared" si="39"/>
        <v>0.02</v>
      </c>
      <c r="AK134" s="13">
        <f t="shared" si="40"/>
        <v>0</v>
      </c>
      <c r="AL134" s="13">
        <f t="shared" si="41"/>
        <v>0</v>
      </c>
      <c r="AM134" s="13">
        <f t="shared" si="42"/>
        <v>1.19</v>
      </c>
      <c r="AN134" s="13">
        <f t="shared" si="43"/>
        <v>0.08</v>
      </c>
      <c r="AO134" s="13">
        <f t="shared" si="44"/>
        <v>0.04</v>
      </c>
      <c r="AP134" s="13">
        <f t="shared" si="45"/>
        <v>0.02</v>
      </c>
      <c r="AQ134" s="13" t="str">
        <f t="shared" si="46"/>
        <v>TJ202512120934000310055</v>
      </c>
      <c r="AR134" s="13">
        <f t="shared" si="47"/>
        <v>0.05</v>
      </c>
    </row>
    <row r="135" spans="1:44">
      <c r="A135" s="12" t="s">
        <v>274</v>
      </c>
      <c r="B135" s="12" t="s">
        <v>275</v>
      </c>
      <c r="C135" s="12" t="s">
        <v>46</v>
      </c>
      <c r="D135" s="12" t="s">
        <v>47</v>
      </c>
      <c r="E135" s="12" t="s">
        <v>48</v>
      </c>
      <c r="F135" s="5">
        <f>ROUND(SUMIF([1]开票!$A$2:$A$1750,[1]申请!AQ135,[1]开票!$C$2:$C$1750),2)</f>
        <v>1028.57</v>
      </c>
      <c r="G135" s="5">
        <f>ROUND(SUMIF([1]开票!$A$2:$A$1750,[1]申请!AQ135,[1]开票!$D$2:$D$1750),2)</f>
        <v>36331.23</v>
      </c>
      <c r="H135" s="5">
        <f>ROUND(SUMIF([1]开票!$A$2:$A$1750,[1]申请!AQ135,[1]开票!$E$2:$E$1750),2)</f>
        <v>51.43</v>
      </c>
      <c r="I135" s="5">
        <f t="shared" si="32"/>
        <v>37411.23</v>
      </c>
      <c r="J135" s="12">
        <v>1080</v>
      </c>
      <c r="K135" s="12"/>
      <c r="L135" s="12"/>
      <c r="M135" s="12"/>
      <c r="N135" s="12"/>
      <c r="O135" s="12"/>
      <c r="P135" s="12"/>
      <c r="Q135" s="12"/>
      <c r="R135" s="12"/>
      <c r="S135" s="12">
        <v>26191.1</v>
      </c>
      <c r="T135" s="12">
        <v>0</v>
      </c>
      <c r="U135" s="12">
        <v>10140.13</v>
      </c>
      <c r="V135" s="12">
        <v>0</v>
      </c>
      <c r="W135" s="12">
        <v>0</v>
      </c>
      <c r="X135" s="12"/>
      <c r="Y135" s="12"/>
      <c r="Z135" s="12"/>
      <c r="AA135" s="12"/>
      <c r="AB135" s="12"/>
      <c r="AC135" s="12"/>
      <c r="AD135" s="12">
        <f t="shared" si="33"/>
        <v>37411.23</v>
      </c>
      <c r="AE135" s="13">
        <f t="shared" si="34"/>
        <v>0</v>
      </c>
      <c r="AF135" s="14">
        <f t="shared" si="35"/>
        <v>0</v>
      </c>
      <c r="AG135" s="13">
        <f t="shared" si="36"/>
        <v>51.43</v>
      </c>
      <c r="AH135" s="13">
        <f t="shared" si="37"/>
        <v>3.6</v>
      </c>
      <c r="AI135" s="13">
        <f t="shared" si="38"/>
        <v>1.54</v>
      </c>
      <c r="AJ135" s="13">
        <f t="shared" si="39"/>
        <v>1.03</v>
      </c>
      <c r="AK135" s="13">
        <f t="shared" si="40"/>
        <v>0</v>
      </c>
      <c r="AL135" s="13">
        <f t="shared" si="41"/>
        <v>0</v>
      </c>
      <c r="AM135" s="13">
        <f t="shared" si="42"/>
        <v>51.43</v>
      </c>
      <c r="AN135" s="13">
        <f t="shared" si="43"/>
        <v>3.6</v>
      </c>
      <c r="AO135" s="13">
        <f t="shared" si="44"/>
        <v>1.54</v>
      </c>
      <c r="AP135" s="13">
        <f t="shared" si="45"/>
        <v>1.03</v>
      </c>
      <c r="AQ135" s="13" t="str">
        <f t="shared" si="46"/>
        <v>TJ202512121030000288552</v>
      </c>
      <c r="AR135" s="13">
        <f t="shared" si="47"/>
        <v>0.05</v>
      </c>
    </row>
    <row r="136" spans="1:44">
      <c r="A136" s="18" t="s">
        <v>276</v>
      </c>
      <c r="B136" s="12" t="s">
        <v>277</v>
      </c>
      <c r="C136" s="12" t="s">
        <v>54</v>
      </c>
      <c r="D136" s="12" t="s">
        <v>47</v>
      </c>
      <c r="E136" s="12" t="s">
        <v>51</v>
      </c>
      <c r="F136" s="5">
        <f>ROUND(SUMIF([1]开票!$A$2:$A$1750,[1]申请!AQ136,[1]开票!$C$2:$C$1750),2)</f>
        <v>9919.51</v>
      </c>
      <c r="G136" s="5">
        <f>ROUND(SUMIF([1]开票!$A$2:$A$1750,[1]申请!AQ136,[1]开票!$D$2:$D$1750),2)</f>
        <v>0</v>
      </c>
      <c r="H136" s="5">
        <f>ROUND(SUMIF([1]开票!$A$2:$A$1750,[1]申请!AQ136,[1]开票!$E$2:$E$1750),2)</f>
        <v>595.17</v>
      </c>
      <c r="I136" s="5">
        <f t="shared" si="32"/>
        <v>10514.68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>
        <v>10514.68</v>
      </c>
      <c r="T136" s="12"/>
      <c r="U136" s="12"/>
      <c r="V136" s="15"/>
      <c r="W136" s="12"/>
      <c r="X136" s="12"/>
      <c r="Y136" s="12"/>
      <c r="Z136" s="12"/>
      <c r="AA136" s="15"/>
      <c r="AB136" s="12"/>
      <c r="AC136" s="12"/>
      <c r="AD136" s="12">
        <f t="shared" si="33"/>
        <v>10514.68</v>
      </c>
      <c r="AE136" s="13">
        <f t="shared" si="34"/>
        <v>0</v>
      </c>
      <c r="AF136" s="22">
        <f t="shared" si="35"/>
        <v>0</v>
      </c>
      <c r="AG136" s="21">
        <f t="shared" si="36"/>
        <v>595.17</v>
      </c>
      <c r="AH136" s="21">
        <f t="shared" si="37"/>
        <v>41.66</v>
      </c>
      <c r="AI136" s="21">
        <f t="shared" si="38"/>
        <v>17.86</v>
      </c>
      <c r="AJ136" s="21">
        <f t="shared" si="39"/>
        <v>11.9</v>
      </c>
      <c r="AK136" s="21">
        <f t="shared" si="40"/>
        <v>0</v>
      </c>
      <c r="AL136" s="21">
        <f t="shared" si="41"/>
        <v>0</v>
      </c>
      <c r="AM136" s="21">
        <f t="shared" si="42"/>
        <v>595.17</v>
      </c>
      <c r="AN136" s="21">
        <f t="shared" si="43"/>
        <v>41.66</v>
      </c>
      <c r="AO136" s="21">
        <f t="shared" si="44"/>
        <v>17.86</v>
      </c>
      <c r="AP136" s="21">
        <f t="shared" si="45"/>
        <v>11.9</v>
      </c>
      <c r="AQ136" s="21" t="str">
        <f t="shared" si="46"/>
        <v>TJ202512121247000364287</v>
      </c>
      <c r="AR136" s="21">
        <f t="shared" si="47"/>
        <v>0.06</v>
      </c>
    </row>
    <row r="137" spans="1:44">
      <c r="A137" s="12" t="s">
        <v>278</v>
      </c>
      <c r="B137" s="12" t="s">
        <v>277</v>
      </c>
      <c r="C137" s="12" t="s">
        <v>54</v>
      </c>
      <c r="D137" s="12" t="s">
        <v>47</v>
      </c>
      <c r="E137" s="12" t="s">
        <v>51</v>
      </c>
      <c r="F137" s="5">
        <f>ROUND(SUMIF([1]开票!$A$2:$A$1750,[1]申请!AQ137,[1]开票!$C$2:$C$1750),2)</f>
        <v>666.59</v>
      </c>
      <c r="G137" s="5">
        <f>ROUND(SUMIF([1]开票!$A$2:$A$1750,[1]申请!AQ137,[1]开票!$D$2:$D$1750),2)</f>
        <v>0</v>
      </c>
      <c r="H137" s="5">
        <f>ROUND(SUMIF([1]开票!$A$2:$A$1750,[1]申请!AQ137,[1]开票!$E$2:$E$1750),2)</f>
        <v>40</v>
      </c>
      <c r="I137" s="5">
        <f t="shared" si="32"/>
        <v>706.59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>
        <v>706.59</v>
      </c>
      <c r="Z137" s="12"/>
      <c r="AA137" s="12"/>
      <c r="AB137" s="12"/>
      <c r="AC137" s="12"/>
      <c r="AD137" s="12">
        <f t="shared" si="33"/>
        <v>706.59</v>
      </c>
      <c r="AE137" s="13">
        <f t="shared" si="34"/>
        <v>0</v>
      </c>
      <c r="AF137" s="14">
        <f t="shared" si="35"/>
        <v>0</v>
      </c>
      <c r="AG137" s="13">
        <f t="shared" si="36"/>
        <v>40</v>
      </c>
      <c r="AH137" s="13">
        <f t="shared" si="37"/>
        <v>2.8</v>
      </c>
      <c r="AI137" s="13">
        <f t="shared" si="38"/>
        <v>1.2</v>
      </c>
      <c r="AJ137" s="13">
        <f t="shared" si="39"/>
        <v>0.8</v>
      </c>
      <c r="AK137" s="13">
        <f t="shared" si="40"/>
        <v>630.883928571428</v>
      </c>
      <c r="AL137" s="13">
        <f t="shared" si="41"/>
        <v>75.71</v>
      </c>
      <c r="AM137" s="13">
        <f t="shared" si="42"/>
        <v>-590.88</v>
      </c>
      <c r="AN137" s="13">
        <f t="shared" si="43"/>
        <v>-41.36</v>
      </c>
      <c r="AO137" s="13">
        <f t="shared" si="44"/>
        <v>-17.73</v>
      </c>
      <c r="AP137" s="13">
        <f t="shared" si="45"/>
        <v>-11.82</v>
      </c>
      <c r="AQ137" s="13" t="str">
        <f t="shared" si="46"/>
        <v>TJ202512121248000408743</v>
      </c>
      <c r="AR137" s="13">
        <f t="shared" si="47"/>
        <v>0.06</v>
      </c>
    </row>
    <row r="138" spans="1:44">
      <c r="A138" s="12" t="s">
        <v>279</v>
      </c>
      <c r="B138" s="12" t="s">
        <v>57</v>
      </c>
      <c r="C138" s="12" t="s">
        <v>54</v>
      </c>
      <c r="D138" s="12" t="s">
        <v>55</v>
      </c>
      <c r="E138" s="12" t="s">
        <v>51</v>
      </c>
      <c r="F138" s="5">
        <f>ROUND(SUMIF([1]开票!$A$2:$A$1750,[1]申请!AQ138,[1]开票!$C$2:$C$1750),2)</f>
        <v>241864.55</v>
      </c>
      <c r="G138" s="5">
        <f>ROUND(SUMIF([1]开票!$A$2:$A$1750,[1]申请!AQ138,[1]开票!$D$2:$D$1750),2)</f>
        <v>0</v>
      </c>
      <c r="H138" s="5">
        <f>ROUND(SUMIF([1]开票!$A$2:$A$1750,[1]申请!AQ138,[1]开票!$E$2:$E$1750),2)</f>
        <v>14511.88</v>
      </c>
      <c r="I138" s="5">
        <f t="shared" si="32"/>
        <v>256376.43</v>
      </c>
      <c r="J138" s="15">
        <v>256376.43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>
        <f t="shared" si="33"/>
        <v>256376.43</v>
      </c>
      <c r="AE138" s="13">
        <f t="shared" si="34"/>
        <v>0</v>
      </c>
      <c r="AF138" s="14">
        <f t="shared" si="35"/>
        <v>0</v>
      </c>
      <c r="AG138" s="13">
        <f t="shared" si="36"/>
        <v>14511.88</v>
      </c>
      <c r="AH138" s="13">
        <f t="shared" si="37"/>
        <v>1015.83</v>
      </c>
      <c r="AI138" s="13">
        <f t="shared" si="38"/>
        <v>435.36</v>
      </c>
      <c r="AJ138" s="13">
        <f t="shared" si="39"/>
        <v>290.24</v>
      </c>
      <c r="AK138" s="13">
        <f t="shared" si="40"/>
        <v>0</v>
      </c>
      <c r="AL138" s="13">
        <f t="shared" si="41"/>
        <v>0</v>
      </c>
      <c r="AM138" s="13">
        <f t="shared" si="42"/>
        <v>14511.88</v>
      </c>
      <c r="AN138" s="13">
        <f t="shared" si="43"/>
        <v>1015.83</v>
      </c>
      <c r="AO138" s="13">
        <f t="shared" si="44"/>
        <v>435.36</v>
      </c>
      <c r="AP138" s="13">
        <f t="shared" si="45"/>
        <v>290.24</v>
      </c>
      <c r="AQ138" s="13" t="str">
        <f t="shared" si="46"/>
        <v>TJ202512121353000139972</v>
      </c>
      <c r="AR138" s="13">
        <f t="shared" si="47"/>
        <v>0.06</v>
      </c>
    </row>
    <row r="139" spans="1:44">
      <c r="A139" s="12" t="s">
        <v>280</v>
      </c>
      <c r="B139" s="12" t="s">
        <v>76</v>
      </c>
      <c r="C139" s="12" t="s">
        <v>46</v>
      </c>
      <c r="D139" s="12" t="s">
        <v>47</v>
      </c>
      <c r="E139" s="12" t="s">
        <v>51</v>
      </c>
      <c r="F139" s="5">
        <f>ROUND(SUMIF([1]开票!$A$2:$A$1750,[1]申请!AQ139,[1]开票!$C$2:$C$1750),2)</f>
        <v>35.85</v>
      </c>
      <c r="G139" s="5">
        <f>ROUND(SUMIF([1]开票!$A$2:$A$1750,[1]申请!AQ139,[1]开票!$D$2:$D$1750),2)</f>
        <v>0</v>
      </c>
      <c r="H139" s="5">
        <f>ROUND(SUMIF([1]开票!$A$2:$A$1750,[1]申请!AQ139,[1]开票!$E$2:$E$1750),2)</f>
        <v>2.15</v>
      </c>
      <c r="I139" s="5">
        <f t="shared" si="32"/>
        <v>38</v>
      </c>
      <c r="J139" s="12"/>
      <c r="K139" s="12"/>
      <c r="L139" s="12"/>
      <c r="M139" s="12"/>
      <c r="N139" s="12"/>
      <c r="O139" s="12"/>
      <c r="P139" s="12">
        <v>11</v>
      </c>
      <c r="Q139" s="12"/>
      <c r="R139" s="12"/>
      <c r="S139" s="12"/>
      <c r="T139" s="12"/>
      <c r="U139" s="12"/>
      <c r="V139" s="12"/>
      <c r="W139" s="12">
        <v>27</v>
      </c>
      <c r="X139" s="12"/>
      <c r="Y139" s="12"/>
      <c r="Z139" s="12"/>
      <c r="AA139" s="12"/>
      <c r="AB139" s="12"/>
      <c r="AC139" s="12"/>
      <c r="AD139" s="12">
        <f t="shared" si="33"/>
        <v>38</v>
      </c>
      <c r="AE139" s="13">
        <f t="shared" si="34"/>
        <v>0</v>
      </c>
      <c r="AF139" s="14">
        <f t="shared" si="35"/>
        <v>0</v>
      </c>
      <c r="AG139" s="13">
        <f t="shared" si="36"/>
        <v>2.15</v>
      </c>
      <c r="AH139" s="13">
        <f t="shared" si="37"/>
        <v>0.15</v>
      </c>
      <c r="AI139" s="13">
        <f t="shared" si="38"/>
        <v>0.06</v>
      </c>
      <c r="AJ139" s="13">
        <f t="shared" si="39"/>
        <v>0.04</v>
      </c>
      <c r="AK139" s="13">
        <f t="shared" si="40"/>
        <v>0</v>
      </c>
      <c r="AL139" s="13">
        <f t="shared" si="41"/>
        <v>0</v>
      </c>
      <c r="AM139" s="13">
        <f t="shared" si="42"/>
        <v>2.15</v>
      </c>
      <c r="AN139" s="13">
        <f t="shared" si="43"/>
        <v>0.15</v>
      </c>
      <c r="AO139" s="13">
        <f t="shared" si="44"/>
        <v>0.06</v>
      </c>
      <c r="AP139" s="13">
        <f t="shared" si="45"/>
        <v>0.04</v>
      </c>
      <c r="AQ139" s="13" t="str">
        <f t="shared" si="46"/>
        <v>TJ202512121411000530566</v>
      </c>
      <c r="AR139" s="13">
        <f t="shared" si="47"/>
        <v>0.06</v>
      </c>
    </row>
    <row r="140" spans="1:44">
      <c r="A140" s="12" t="s">
        <v>281</v>
      </c>
      <c r="B140" s="12" t="s">
        <v>76</v>
      </c>
      <c r="C140" s="12" t="s">
        <v>46</v>
      </c>
      <c r="D140" s="12" t="s">
        <v>47</v>
      </c>
      <c r="E140" s="12" t="s">
        <v>77</v>
      </c>
      <c r="F140" s="5">
        <f>ROUND(SUMIF([1]开票!$A$2:$A$1750,[1]申请!AQ140,[1]开票!$C$2:$C$1750),2)</f>
        <v>2228.57</v>
      </c>
      <c r="G140" s="5">
        <f>ROUND(SUMIF([1]开票!$A$2:$A$1750,[1]申请!AQ140,[1]开票!$D$2:$D$1750),2)</f>
        <v>305628.13</v>
      </c>
      <c r="H140" s="5">
        <f>ROUND(SUMIF([1]开票!$A$2:$A$1750,[1]申请!AQ140,[1]开票!$E$2:$E$1750),2)</f>
        <v>111.43</v>
      </c>
      <c r="I140" s="5">
        <f t="shared" si="32"/>
        <v>307968.13</v>
      </c>
      <c r="J140" s="12"/>
      <c r="K140" s="12">
        <v>2340</v>
      </c>
      <c r="L140" s="12"/>
      <c r="M140" s="12"/>
      <c r="N140" s="12"/>
      <c r="O140" s="12"/>
      <c r="P140" s="12"/>
      <c r="Q140" s="12"/>
      <c r="R140" s="12"/>
      <c r="S140" s="12">
        <v>210568.96</v>
      </c>
      <c r="T140" s="12">
        <v>596.31</v>
      </c>
      <c r="U140" s="12">
        <v>71833.26</v>
      </c>
      <c r="V140" s="12">
        <v>21042</v>
      </c>
      <c r="W140" s="12"/>
      <c r="X140" s="12">
        <v>1587.6</v>
      </c>
      <c r="Y140" s="12"/>
      <c r="Z140" s="12"/>
      <c r="AA140" s="12"/>
      <c r="AB140" s="12"/>
      <c r="AC140" s="12"/>
      <c r="AD140" s="12">
        <f t="shared" si="33"/>
        <v>307968.13</v>
      </c>
      <c r="AE140" s="13">
        <f t="shared" si="34"/>
        <v>0</v>
      </c>
      <c r="AF140" s="14">
        <f t="shared" si="35"/>
        <v>0</v>
      </c>
      <c r="AG140" s="13">
        <f t="shared" si="36"/>
        <v>111.43</v>
      </c>
      <c r="AH140" s="13">
        <f t="shared" si="37"/>
        <v>7.8</v>
      </c>
      <c r="AI140" s="13">
        <f t="shared" si="38"/>
        <v>3.34</v>
      </c>
      <c r="AJ140" s="13">
        <f t="shared" si="39"/>
        <v>2.23</v>
      </c>
      <c r="AK140" s="13">
        <f t="shared" si="40"/>
        <v>0</v>
      </c>
      <c r="AL140" s="13">
        <f t="shared" si="41"/>
        <v>0</v>
      </c>
      <c r="AM140" s="13">
        <f t="shared" si="42"/>
        <v>111.43</v>
      </c>
      <c r="AN140" s="13">
        <f t="shared" si="43"/>
        <v>7.8</v>
      </c>
      <c r="AO140" s="13">
        <f t="shared" si="44"/>
        <v>3.34</v>
      </c>
      <c r="AP140" s="13">
        <f t="shared" si="45"/>
        <v>2.23</v>
      </c>
      <c r="AQ140" s="13" t="str">
        <f t="shared" si="46"/>
        <v>TJ202512121415000013268</v>
      </c>
      <c r="AR140" s="13">
        <f t="shared" si="47"/>
        <v>0.05</v>
      </c>
    </row>
    <row r="141" spans="1:44">
      <c r="A141" s="12" t="s">
        <v>282</v>
      </c>
      <c r="B141" s="12" t="s">
        <v>74</v>
      </c>
      <c r="C141" s="12" t="s">
        <v>46</v>
      </c>
      <c r="D141" s="12" t="s">
        <v>47</v>
      </c>
      <c r="E141" s="12" t="s">
        <v>48</v>
      </c>
      <c r="F141" s="5">
        <f>ROUND(SUMIF([1]开票!$A$2:$A$1750,[1]申请!AQ141,[1]开票!$C$2:$C$1750),2)</f>
        <v>0</v>
      </c>
      <c r="G141" s="5">
        <f>ROUND(SUMIF([1]开票!$A$2:$A$1750,[1]申请!AQ141,[1]开票!$D$2:$D$1750),2)</f>
        <v>12935</v>
      </c>
      <c r="H141" s="5">
        <f>ROUND(SUMIF([1]开票!$A$2:$A$1750,[1]申请!AQ141,[1]开票!$E$2:$E$1750),2)</f>
        <v>0</v>
      </c>
      <c r="I141" s="5">
        <f t="shared" si="32"/>
        <v>12935</v>
      </c>
      <c r="J141" s="12">
        <v>0</v>
      </c>
      <c r="K141" s="12"/>
      <c r="L141" s="12"/>
      <c r="M141" s="12"/>
      <c r="N141" s="12"/>
      <c r="O141" s="12"/>
      <c r="P141" s="12"/>
      <c r="Q141" s="12"/>
      <c r="R141" s="12"/>
      <c r="S141" s="12">
        <v>12935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/>
      <c r="Z141" s="12"/>
      <c r="AA141" s="12"/>
      <c r="AB141" s="12"/>
      <c r="AC141" s="12"/>
      <c r="AD141" s="12">
        <f t="shared" si="33"/>
        <v>12935</v>
      </c>
      <c r="AE141" s="13">
        <f t="shared" si="34"/>
        <v>0</v>
      </c>
      <c r="AF141" s="14">
        <f t="shared" si="35"/>
        <v>0</v>
      </c>
      <c r="AG141" s="13">
        <f t="shared" si="36"/>
        <v>0</v>
      </c>
      <c r="AH141" s="13">
        <f t="shared" si="37"/>
        <v>0</v>
      </c>
      <c r="AI141" s="13">
        <f t="shared" si="38"/>
        <v>0</v>
      </c>
      <c r="AJ141" s="13">
        <f t="shared" si="39"/>
        <v>0</v>
      </c>
      <c r="AK141" s="13">
        <f t="shared" si="40"/>
        <v>0</v>
      </c>
      <c r="AL141" s="13">
        <f t="shared" si="41"/>
        <v>0</v>
      </c>
      <c r="AM141" s="13">
        <f t="shared" si="42"/>
        <v>0</v>
      </c>
      <c r="AN141" s="13">
        <f t="shared" si="43"/>
        <v>0</v>
      </c>
      <c r="AO141" s="13">
        <f t="shared" si="44"/>
        <v>0</v>
      </c>
      <c r="AP141" s="13">
        <f t="shared" si="45"/>
        <v>0</v>
      </c>
      <c r="AQ141" s="13" t="str">
        <f t="shared" si="46"/>
        <v>TJ202512121417000538883</v>
      </c>
      <c r="AR141" s="13">
        <f t="shared" si="47"/>
        <v>0.05</v>
      </c>
    </row>
    <row r="142" spans="1:44">
      <c r="A142" s="18" t="s">
        <v>283</v>
      </c>
      <c r="B142" s="12" t="s">
        <v>284</v>
      </c>
      <c r="C142" s="12" t="s">
        <v>54</v>
      </c>
      <c r="D142" s="12" t="s">
        <v>55</v>
      </c>
      <c r="E142" s="12" t="s">
        <v>51</v>
      </c>
      <c r="F142" s="5">
        <f>ROUND(SUMIF([1]开票!$A$2:$A$1750,[1]申请!AQ142,[1]开票!$C$2:$C$1750),2)</f>
        <v>23912.45</v>
      </c>
      <c r="G142" s="5">
        <f>ROUND(SUMIF([1]开票!$A$2:$A$1750,[1]申请!AQ142,[1]开票!$D$2:$D$1750),2)</f>
        <v>0</v>
      </c>
      <c r="H142" s="5">
        <f>ROUND(SUMIF([1]开票!$A$2:$A$1750,[1]申请!AQ142,[1]开票!$E$2:$E$1750),2)</f>
        <v>1434.75</v>
      </c>
      <c r="I142" s="5">
        <f t="shared" si="32"/>
        <v>25347.2</v>
      </c>
      <c r="J142" s="12"/>
      <c r="K142" s="12"/>
      <c r="L142" s="15">
        <v>25347.2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>
        <f t="shared" si="33"/>
        <v>25347.2</v>
      </c>
      <c r="AE142" s="13">
        <f t="shared" si="34"/>
        <v>0</v>
      </c>
      <c r="AF142" s="14">
        <f t="shared" si="35"/>
        <v>0</v>
      </c>
      <c r="AG142" s="13">
        <f t="shared" si="36"/>
        <v>1434.75</v>
      </c>
      <c r="AH142" s="13">
        <f t="shared" si="37"/>
        <v>100.43</v>
      </c>
      <c r="AI142" s="13">
        <f t="shared" si="38"/>
        <v>43.04</v>
      </c>
      <c r="AJ142" s="13">
        <f t="shared" si="39"/>
        <v>28.7</v>
      </c>
      <c r="AK142" s="13">
        <f t="shared" si="40"/>
        <v>0</v>
      </c>
      <c r="AL142" s="13">
        <f t="shared" si="41"/>
        <v>0</v>
      </c>
      <c r="AM142" s="13">
        <f t="shared" si="42"/>
        <v>1434.75</v>
      </c>
      <c r="AN142" s="13">
        <f t="shared" si="43"/>
        <v>100.43</v>
      </c>
      <c r="AO142" s="13">
        <f t="shared" si="44"/>
        <v>43.04</v>
      </c>
      <c r="AP142" s="13">
        <f t="shared" si="45"/>
        <v>28.7</v>
      </c>
      <c r="AQ142" s="13" t="str">
        <f t="shared" si="46"/>
        <v>TJ202512121423000163463</v>
      </c>
      <c r="AR142" s="13">
        <f t="shared" si="47"/>
        <v>0.06</v>
      </c>
    </row>
    <row r="143" spans="1:44">
      <c r="A143" s="12" t="s">
        <v>285</v>
      </c>
      <c r="B143" s="12" t="s">
        <v>108</v>
      </c>
      <c r="C143" s="12" t="s">
        <v>54</v>
      </c>
      <c r="D143" s="12" t="s">
        <v>60</v>
      </c>
      <c r="E143" s="12" t="s">
        <v>51</v>
      </c>
      <c r="F143" s="5">
        <f>ROUND(SUMIF([1]开票!$A$2:$A$1750,[1]申请!AQ143,[1]开票!$C$2:$C$1750),2)</f>
        <v>175754.72</v>
      </c>
      <c r="G143" s="5">
        <f>ROUND(SUMIF([1]开票!$A$2:$A$1750,[1]申请!AQ143,[1]开票!$D$2:$D$1750),2)</f>
        <v>0</v>
      </c>
      <c r="H143" s="5">
        <f>ROUND(SUMIF([1]开票!$A$2:$A$1750,[1]申请!AQ143,[1]开票!$E$2:$E$1750),2)</f>
        <v>10545.28</v>
      </c>
      <c r="I143" s="5">
        <f t="shared" si="32"/>
        <v>186300</v>
      </c>
      <c r="J143" s="12"/>
      <c r="K143" s="12"/>
      <c r="L143" s="12">
        <v>10545.28</v>
      </c>
      <c r="M143" s="12"/>
      <c r="N143" s="12"/>
      <c r="O143" s="12"/>
      <c r="P143" s="12"/>
      <c r="Q143" s="12"/>
      <c r="R143" s="12"/>
      <c r="S143" s="12">
        <v>175754.72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>
        <f t="shared" si="33"/>
        <v>186300</v>
      </c>
      <c r="AE143" s="13">
        <f t="shared" si="34"/>
        <v>0</v>
      </c>
      <c r="AF143" s="14">
        <f t="shared" si="35"/>
        <v>0</v>
      </c>
      <c r="AG143" s="13">
        <f t="shared" si="36"/>
        <v>10545.28</v>
      </c>
      <c r="AH143" s="13">
        <f t="shared" si="37"/>
        <v>738.17</v>
      </c>
      <c r="AI143" s="13">
        <f t="shared" si="38"/>
        <v>316.36</v>
      </c>
      <c r="AJ143" s="13">
        <f t="shared" si="39"/>
        <v>210.91</v>
      </c>
      <c r="AK143" s="13">
        <f t="shared" si="40"/>
        <v>0</v>
      </c>
      <c r="AL143" s="13">
        <f t="shared" si="41"/>
        <v>0</v>
      </c>
      <c r="AM143" s="13">
        <f t="shared" si="42"/>
        <v>10545.28</v>
      </c>
      <c r="AN143" s="13">
        <f t="shared" si="43"/>
        <v>738.17</v>
      </c>
      <c r="AO143" s="13">
        <f t="shared" si="44"/>
        <v>316.36</v>
      </c>
      <c r="AP143" s="13">
        <f t="shared" si="45"/>
        <v>210.91</v>
      </c>
      <c r="AQ143" s="13" t="str">
        <f t="shared" si="46"/>
        <v>TJ202512121423000291717</v>
      </c>
      <c r="AR143" s="13">
        <f t="shared" si="47"/>
        <v>0.06</v>
      </c>
    </row>
    <row r="144" spans="1:44">
      <c r="A144" s="12" t="s">
        <v>286</v>
      </c>
      <c r="B144" s="12" t="s">
        <v>287</v>
      </c>
      <c r="C144" s="12" t="s">
        <v>54</v>
      </c>
      <c r="D144" s="12" t="s">
        <v>55</v>
      </c>
      <c r="E144" s="12" t="s">
        <v>51</v>
      </c>
      <c r="F144" s="5">
        <f>ROUND(SUMIF([1]开票!$A$2:$A$1750,[1]申请!AQ144,[1]开票!$C$2:$C$1750),2)</f>
        <v>9001.7</v>
      </c>
      <c r="G144" s="5">
        <f>ROUND(SUMIF([1]开票!$A$2:$A$1750,[1]申请!AQ144,[1]开票!$D$2:$D$1750),2)</f>
        <v>0</v>
      </c>
      <c r="H144" s="5">
        <f>ROUND(SUMIF([1]开票!$A$2:$A$1750,[1]申请!AQ144,[1]开票!$E$2:$E$1750),2)</f>
        <v>540.1</v>
      </c>
      <c r="I144" s="5">
        <f t="shared" si="32"/>
        <v>9541.8</v>
      </c>
      <c r="J144" s="12"/>
      <c r="K144" s="12"/>
      <c r="L144" s="12">
        <v>9541.8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>
        <f t="shared" si="33"/>
        <v>9541.8</v>
      </c>
      <c r="AE144" s="13">
        <f t="shared" si="34"/>
        <v>0</v>
      </c>
      <c r="AF144" s="22">
        <f t="shared" si="35"/>
        <v>0</v>
      </c>
      <c r="AG144" s="13">
        <f t="shared" si="36"/>
        <v>540.1</v>
      </c>
      <c r="AH144" s="13">
        <f t="shared" si="37"/>
        <v>37.81</v>
      </c>
      <c r="AI144" s="13">
        <f t="shared" si="38"/>
        <v>16.2</v>
      </c>
      <c r="AJ144" s="13">
        <f t="shared" si="39"/>
        <v>10.8</v>
      </c>
      <c r="AK144" s="13">
        <f t="shared" si="40"/>
        <v>0</v>
      </c>
      <c r="AL144" s="13">
        <f t="shared" si="41"/>
        <v>0</v>
      </c>
      <c r="AM144" s="13">
        <f t="shared" si="42"/>
        <v>540.1</v>
      </c>
      <c r="AN144" s="13">
        <f t="shared" si="43"/>
        <v>37.81</v>
      </c>
      <c r="AO144" s="13">
        <f t="shared" si="44"/>
        <v>16.2</v>
      </c>
      <c r="AP144" s="13">
        <f t="shared" si="45"/>
        <v>10.8</v>
      </c>
      <c r="AQ144" s="13" t="str">
        <f t="shared" si="46"/>
        <v>TJ202512121424000408115</v>
      </c>
      <c r="AR144" s="13">
        <f t="shared" si="47"/>
        <v>0.06</v>
      </c>
    </row>
    <row r="145" spans="1:44">
      <c r="A145" s="12" t="s">
        <v>288</v>
      </c>
      <c r="B145" s="12" t="s">
        <v>289</v>
      </c>
      <c r="C145" s="12" t="s">
        <v>46</v>
      </c>
      <c r="D145" s="12" t="s">
        <v>47</v>
      </c>
      <c r="E145" s="12" t="s">
        <v>77</v>
      </c>
      <c r="F145" s="5">
        <f>ROUND(SUMIF([1]开票!$A$2:$A$1750,[1]申请!AQ145,[1]开票!$C$2:$C$1750),2)</f>
        <v>342.86</v>
      </c>
      <c r="G145" s="5">
        <f>ROUND(SUMIF([1]开票!$A$2:$A$1750,[1]申请!AQ145,[1]开票!$D$2:$D$1750),2)</f>
        <v>32292.69</v>
      </c>
      <c r="H145" s="5">
        <f>ROUND(SUMIF([1]开票!$A$2:$A$1750,[1]申请!AQ145,[1]开票!$E$2:$E$1750),2)</f>
        <v>17.14</v>
      </c>
      <c r="I145" s="5">
        <f t="shared" si="32"/>
        <v>32652.69</v>
      </c>
      <c r="J145" s="12">
        <v>360</v>
      </c>
      <c r="K145" s="12"/>
      <c r="L145" s="15"/>
      <c r="M145" s="12"/>
      <c r="N145" s="12"/>
      <c r="O145" s="12"/>
      <c r="P145" s="12"/>
      <c r="Q145" s="12"/>
      <c r="R145" s="12"/>
      <c r="S145" s="12">
        <v>22356.27</v>
      </c>
      <c r="T145" s="12"/>
      <c r="U145" s="12">
        <v>9456.12</v>
      </c>
      <c r="V145" s="12"/>
      <c r="W145" s="12">
        <v>330</v>
      </c>
      <c r="X145" s="12">
        <v>150.3</v>
      </c>
      <c r="Y145" s="12"/>
      <c r="Z145" s="12"/>
      <c r="AA145" s="12"/>
      <c r="AB145" s="12"/>
      <c r="AC145" s="12"/>
      <c r="AD145" s="12">
        <f t="shared" si="33"/>
        <v>32652.69</v>
      </c>
      <c r="AE145" s="13">
        <f t="shared" si="34"/>
        <v>0</v>
      </c>
      <c r="AF145" s="14">
        <f t="shared" si="35"/>
        <v>0</v>
      </c>
      <c r="AG145" s="13">
        <f t="shared" si="36"/>
        <v>17.14</v>
      </c>
      <c r="AH145" s="13">
        <f t="shared" si="37"/>
        <v>1.2</v>
      </c>
      <c r="AI145" s="13">
        <f t="shared" si="38"/>
        <v>0.51</v>
      </c>
      <c r="AJ145" s="13">
        <f t="shared" si="39"/>
        <v>0.34</v>
      </c>
      <c r="AK145" s="13">
        <f t="shared" si="40"/>
        <v>0</v>
      </c>
      <c r="AL145" s="13">
        <f t="shared" si="41"/>
        <v>0</v>
      </c>
      <c r="AM145" s="13">
        <f t="shared" si="42"/>
        <v>17.14</v>
      </c>
      <c r="AN145" s="13">
        <f t="shared" si="43"/>
        <v>1.2</v>
      </c>
      <c r="AO145" s="13">
        <f t="shared" si="44"/>
        <v>0.51</v>
      </c>
      <c r="AP145" s="13">
        <f t="shared" si="45"/>
        <v>0.34</v>
      </c>
      <c r="AQ145" s="13" t="str">
        <f t="shared" si="46"/>
        <v>TJ202512121443000017015</v>
      </c>
      <c r="AR145" s="13">
        <f t="shared" si="47"/>
        <v>0.05</v>
      </c>
    </row>
    <row r="146" spans="1:44">
      <c r="A146" s="12" t="s">
        <v>290</v>
      </c>
      <c r="B146" s="12" t="s">
        <v>291</v>
      </c>
      <c r="C146" s="12" t="s">
        <v>46</v>
      </c>
      <c r="D146" s="12" t="s">
        <v>47</v>
      </c>
      <c r="E146" s="12" t="s">
        <v>48</v>
      </c>
      <c r="F146" s="5">
        <f>ROUND(SUMIF([1]开票!$A$2:$A$1750,[1]申请!AQ146,[1]开票!$C$2:$C$1750),2)</f>
        <v>208552.38</v>
      </c>
      <c r="G146" s="5">
        <f>ROUND(SUMIF([1]开票!$A$2:$A$1750,[1]申请!AQ146,[1]开票!$D$2:$D$1750),2)</f>
        <v>714046.82</v>
      </c>
      <c r="H146" s="5">
        <f>ROUND(SUMIF([1]开票!$A$2:$A$1750,[1]申请!AQ146,[1]开票!$E$2:$E$1750),2)</f>
        <v>10427.62</v>
      </c>
      <c r="I146" s="5">
        <f t="shared" si="32"/>
        <v>933026.82</v>
      </c>
      <c r="J146" s="12">
        <v>218980</v>
      </c>
      <c r="K146" s="12"/>
      <c r="L146" s="28"/>
      <c r="M146" s="12"/>
      <c r="N146" s="12"/>
      <c r="O146" s="12"/>
      <c r="P146" s="12"/>
      <c r="Q146" s="12"/>
      <c r="R146" s="12"/>
      <c r="S146" s="12">
        <v>714046.82</v>
      </c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>
        <f t="shared" si="33"/>
        <v>933026.82</v>
      </c>
      <c r="AE146" s="13">
        <f t="shared" si="34"/>
        <v>0</v>
      </c>
      <c r="AF146" s="14">
        <f t="shared" si="35"/>
        <v>0</v>
      </c>
      <c r="AG146" s="13">
        <f t="shared" si="36"/>
        <v>10427.62</v>
      </c>
      <c r="AH146" s="13">
        <f t="shared" si="37"/>
        <v>729.93</v>
      </c>
      <c r="AI146" s="13">
        <f t="shared" si="38"/>
        <v>312.83</v>
      </c>
      <c r="AJ146" s="13">
        <f t="shared" si="39"/>
        <v>208.55</v>
      </c>
      <c r="AK146" s="13">
        <f t="shared" si="40"/>
        <v>0</v>
      </c>
      <c r="AL146" s="13">
        <f t="shared" si="41"/>
        <v>0</v>
      </c>
      <c r="AM146" s="13">
        <f t="shared" si="42"/>
        <v>10427.62</v>
      </c>
      <c r="AN146" s="13">
        <f t="shared" si="43"/>
        <v>729.93</v>
      </c>
      <c r="AO146" s="13">
        <f t="shared" si="44"/>
        <v>312.83</v>
      </c>
      <c r="AP146" s="13">
        <f t="shared" si="45"/>
        <v>208.55</v>
      </c>
      <c r="AQ146" s="13" t="str">
        <f t="shared" si="46"/>
        <v>TJ202512121619000172710</v>
      </c>
      <c r="AR146" s="13">
        <f t="shared" si="47"/>
        <v>0.05</v>
      </c>
    </row>
    <row r="147" spans="1:44">
      <c r="A147" s="12" t="s">
        <v>292</v>
      </c>
      <c r="B147" s="12" t="s">
        <v>293</v>
      </c>
      <c r="C147" s="12" t="s">
        <v>54</v>
      </c>
      <c r="D147" s="12" t="s">
        <v>55</v>
      </c>
      <c r="E147" s="12" t="s">
        <v>51</v>
      </c>
      <c r="F147" s="5">
        <f>ROUND(SUMIF([1]开票!$A$2:$A$1750,[1]申请!AQ147,[1]开票!$C$2:$C$1750),2)</f>
        <v>404715.06</v>
      </c>
      <c r="G147" s="5">
        <f>ROUND(SUMIF([1]开票!$A$2:$A$1750,[1]申请!AQ147,[1]开票!$D$2:$D$1750),2)</f>
        <v>0</v>
      </c>
      <c r="H147" s="5">
        <f>ROUND(SUMIF([1]开票!$A$2:$A$1750,[1]申请!AQ147,[1]开票!$E$2:$E$1750),2)</f>
        <v>24282.9</v>
      </c>
      <c r="I147" s="5">
        <f t="shared" si="32"/>
        <v>428997.96</v>
      </c>
      <c r="J147" s="12"/>
      <c r="K147" s="12"/>
      <c r="L147" s="12">
        <v>428997.96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>
        <f t="shared" si="33"/>
        <v>428997.96</v>
      </c>
      <c r="AE147" s="13">
        <f t="shared" si="34"/>
        <v>0</v>
      </c>
      <c r="AF147" s="14">
        <f t="shared" si="35"/>
        <v>0</v>
      </c>
      <c r="AG147" s="13">
        <f t="shared" si="36"/>
        <v>24282.9</v>
      </c>
      <c r="AH147" s="13">
        <f t="shared" si="37"/>
        <v>1699.8</v>
      </c>
      <c r="AI147" s="13">
        <f t="shared" si="38"/>
        <v>728.49</v>
      </c>
      <c r="AJ147" s="13">
        <f t="shared" si="39"/>
        <v>485.66</v>
      </c>
      <c r="AK147" s="13">
        <f t="shared" si="40"/>
        <v>0</v>
      </c>
      <c r="AL147" s="13">
        <f t="shared" si="41"/>
        <v>0</v>
      </c>
      <c r="AM147" s="13">
        <f t="shared" si="42"/>
        <v>24282.9</v>
      </c>
      <c r="AN147" s="13">
        <f t="shared" si="43"/>
        <v>1699.8</v>
      </c>
      <c r="AO147" s="13">
        <f t="shared" si="44"/>
        <v>728.49</v>
      </c>
      <c r="AP147" s="13">
        <f t="shared" si="45"/>
        <v>485.66</v>
      </c>
      <c r="AQ147" s="13" t="str">
        <f t="shared" si="46"/>
        <v>TJ202512121628000152102</v>
      </c>
      <c r="AR147" s="13">
        <f t="shared" si="47"/>
        <v>0.06</v>
      </c>
    </row>
    <row r="148" spans="1:44">
      <c r="A148" s="12" t="s">
        <v>294</v>
      </c>
      <c r="B148" s="12" t="s">
        <v>295</v>
      </c>
      <c r="C148" s="12" t="s">
        <v>46</v>
      </c>
      <c r="D148" s="12" t="s">
        <v>47</v>
      </c>
      <c r="E148" s="12" t="s">
        <v>48</v>
      </c>
      <c r="F148" s="5">
        <f>ROUND(SUMIF([1]开票!$A$2:$A$1750,[1]申请!AQ148,[1]开票!$C$2:$C$1750),2)</f>
        <v>914.29</v>
      </c>
      <c r="G148" s="5">
        <f>ROUND(SUMIF([1]开票!$A$2:$A$1750,[1]申请!AQ148,[1]开票!$D$2:$D$1750),2)</f>
        <v>144110.64</v>
      </c>
      <c r="H148" s="5">
        <f>ROUND(SUMIF([1]开票!$A$2:$A$1750,[1]申请!AQ148,[1]开票!$E$2:$E$1750),2)</f>
        <v>45.71</v>
      </c>
      <c r="I148" s="5">
        <f t="shared" si="32"/>
        <v>145070.64</v>
      </c>
      <c r="J148" s="12">
        <v>960</v>
      </c>
      <c r="K148" s="12"/>
      <c r="L148" s="12"/>
      <c r="M148" s="12"/>
      <c r="N148" s="12"/>
      <c r="O148" s="12"/>
      <c r="P148" s="12"/>
      <c r="Q148" s="12"/>
      <c r="R148" s="12"/>
      <c r="S148" s="12">
        <v>110874.39</v>
      </c>
      <c r="T148" s="12"/>
      <c r="U148" s="12">
        <v>26836.25</v>
      </c>
      <c r="V148" s="12">
        <v>6400</v>
      </c>
      <c r="W148" s="12"/>
      <c r="X148" s="12"/>
      <c r="Y148" s="12"/>
      <c r="Z148" s="12"/>
      <c r="AA148" s="12"/>
      <c r="AB148" s="12"/>
      <c r="AC148" s="12"/>
      <c r="AD148" s="12">
        <f t="shared" si="33"/>
        <v>145070.64</v>
      </c>
      <c r="AE148" s="13">
        <f t="shared" si="34"/>
        <v>0</v>
      </c>
      <c r="AF148" s="14">
        <f t="shared" si="35"/>
        <v>0</v>
      </c>
      <c r="AG148" s="13">
        <f t="shared" si="36"/>
        <v>45.71</v>
      </c>
      <c r="AH148" s="13">
        <f t="shared" si="37"/>
        <v>3.2</v>
      </c>
      <c r="AI148" s="13">
        <f t="shared" si="38"/>
        <v>1.37</v>
      </c>
      <c r="AJ148" s="13">
        <f t="shared" si="39"/>
        <v>0.91</v>
      </c>
      <c r="AK148" s="13">
        <f t="shared" si="40"/>
        <v>0</v>
      </c>
      <c r="AL148" s="13">
        <f t="shared" si="41"/>
        <v>0</v>
      </c>
      <c r="AM148" s="13">
        <f t="shared" si="42"/>
        <v>45.71</v>
      </c>
      <c r="AN148" s="13">
        <f t="shared" si="43"/>
        <v>3.2</v>
      </c>
      <c r="AO148" s="13">
        <f t="shared" si="44"/>
        <v>1.37</v>
      </c>
      <c r="AP148" s="13">
        <f t="shared" si="45"/>
        <v>0.91</v>
      </c>
      <c r="AQ148" s="13" t="str">
        <f t="shared" si="46"/>
        <v>TJ202512121632000053587</v>
      </c>
      <c r="AR148" s="13">
        <f t="shared" si="47"/>
        <v>0.05</v>
      </c>
    </row>
    <row r="149" spans="1:44">
      <c r="A149" s="12" t="s">
        <v>296</v>
      </c>
      <c r="B149" s="12" t="s">
        <v>297</v>
      </c>
      <c r="C149" s="12" t="s">
        <v>54</v>
      </c>
      <c r="D149" s="12" t="s">
        <v>47</v>
      </c>
      <c r="E149" s="12" t="s">
        <v>51</v>
      </c>
      <c r="F149" s="5">
        <f>ROUND(SUMIF([1]开票!$A$2:$A$1750,[1]申请!AQ149,[1]开票!$C$2:$C$1750),2)</f>
        <v>91101.41</v>
      </c>
      <c r="G149" s="5">
        <f>ROUND(SUMIF([1]开票!$A$2:$A$1750,[1]申请!AQ149,[1]开票!$D$2:$D$1750),2)</f>
        <v>0</v>
      </c>
      <c r="H149" s="5">
        <f>ROUND(SUMIF([1]开票!$A$2:$A$1750,[1]申请!AQ149,[1]开票!$E$2:$E$1750),2)</f>
        <v>5466.08</v>
      </c>
      <c r="I149" s="5">
        <f t="shared" si="32"/>
        <v>96567.49</v>
      </c>
      <c r="J149" s="12">
        <v>780</v>
      </c>
      <c r="K149" s="12"/>
      <c r="L149" s="12"/>
      <c r="M149" s="23"/>
      <c r="N149" s="15"/>
      <c r="O149" s="12"/>
      <c r="P149" s="12"/>
      <c r="Q149" s="12"/>
      <c r="R149" s="12"/>
      <c r="S149" s="12">
        <v>63752.41</v>
      </c>
      <c r="T149" s="12">
        <v>170.68</v>
      </c>
      <c r="U149" s="12">
        <v>23394.44</v>
      </c>
      <c r="V149" s="12">
        <v>1926</v>
      </c>
      <c r="W149" s="12"/>
      <c r="X149" s="12">
        <v>463.25</v>
      </c>
      <c r="Y149" s="12">
        <v>6080.71</v>
      </c>
      <c r="Z149" s="12"/>
      <c r="AA149" s="12"/>
      <c r="AB149" s="12"/>
      <c r="AC149" s="12"/>
      <c r="AD149" s="12">
        <f t="shared" si="33"/>
        <v>96567.49</v>
      </c>
      <c r="AE149" s="13">
        <f t="shared" si="34"/>
        <v>0</v>
      </c>
      <c r="AF149" s="14">
        <f t="shared" si="35"/>
        <v>0</v>
      </c>
      <c r="AG149" s="13">
        <f t="shared" si="36"/>
        <v>5466.08</v>
      </c>
      <c r="AH149" s="13">
        <f t="shared" si="37"/>
        <v>382.63</v>
      </c>
      <c r="AI149" s="13">
        <f t="shared" si="38"/>
        <v>163.98</v>
      </c>
      <c r="AJ149" s="13">
        <f t="shared" si="39"/>
        <v>109.32</v>
      </c>
      <c r="AK149" s="13">
        <f t="shared" si="40"/>
        <v>5429.20535714286</v>
      </c>
      <c r="AL149" s="13">
        <f t="shared" si="41"/>
        <v>651.5</v>
      </c>
      <c r="AM149" s="13">
        <f t="shared" si="42"/>
        <v>36.87</v>
      </c>
      <c r="AN149" s="13">
        <f t="shared" si="43"/>
        <v>2.58</v>
      </c>
      <c r="AO149" s="13">
        <f t="shared" si="44"/>
        <v>1.11</v>
      </c>
      <c r="AP149" s="13">
        <f t="shared" si="45"/>
        <v>0.74</v>
      </c>
      <c r="AQ149" s="13" t="str">
        <f t="shared" si="46"/>
        <v>TJ202512121654000163545</v>
      </c>
      <c r="AR149" s="13">
        <f t="shared" si="47"/>
        <v>0.06</v>
      </c>
    </row>
    <row r="150" spans="1:44">
      <c r="A150" s="18" t="s">
        <v>298</v>
      </c>
      <c r="B150" s="12" t="s">
        <v>299</v>
      </c>
      <c r="C150" s="12" t="s">
        <v>46</v>
      </c>
      <c r="D150" s="12" t="s">
        <v>55</v>
      </c>
      <c r="E150" s="12" t="s">
        <v>48</v>
      </c>
      <c r="F150" s="5">
        <f>ROUND(SUMIF([1]开票!$A$2:$A$1750,[1]申请!AQ150,[1]开票!$C$2:$C$1750),2)</f>
        <v>407807.85</v>
      </c>
      <c r="G150" s="5">
        <f>ROUND(SUMIF([1]开票!$A$2:$A$1750,[1]申请!AQ150,[1]开票!$D$2:$D$1750),2)</f>
        <v>1354690.04</v>
      </c>
      <c r="H150" s="5">
        <f>ROUND(SUMIF([1]开票!$A$2:$A$1750,[1]申请!AQ150,[1]开票!$E$2:$E$1750),2)</f>
        <v>20390.39</v>
      </c>
      <c r="I150" s="5">
        <f t="shared" si="32"/>
        <v>1782888.28</v>
      </c>
      <c r="J150" s="12"/>
      <c r="K150" s="12"/>
      <c r="L150" s="15">
        <v>428198.24</v>
      </c>
      <c r="M150" s="12"/>
      <c r="N150" s="12"/>
      <c r="O150" s="12"/>
      <c r="P150" s="12"/>
      <c r="Q150" s="12"/>
      <c r="R150" s="12"/>
      <c r="S150" s="12">
        <v>1354690.04</v>
      </c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>
        <f t="shared" si="33"/>
        <v>1782888.28</v>
      </c>
      <c r="AE150" s="13">
        <f t="shared" si="34"/>
        <v>0</v>
      </c>
      <c r="AF150" s="14">
        <f t="shared" si="35"/>
        <v>0</v>
      </c>
      <c r="AG150" s="13">
        <f t="shared" si="36"/>
        <v>20390.39</v>
      </c>
      <c r="AH150" s="13">
        <f t="shared" si="37"/>
        <v>1427.33</v>
      </c>
      <c r="AI150" s="13">
        <f t="shared" si="38"/>
        <v>611.71</v>
      </c>
      <c r="AJ150" s="13">
        <f t="shared" si="39"/>
        <v>407.81</v>
      </c>
      <c r="AK150" s="13">
        <f t="shared" si="40"/>
        <v>0</v>
      </c>
      <c r="AL150" s="13">
        <f t="shared" si="41"/>
        <v>0</v>
      </c>
      <c r="AM150" s="13">
        <f t="shared" si="42"/>
        <v>20390.39</v>
      </c>
      <c r="AN150" s="13">
        <f t="shared" si="43"/>
        <v>1427.33</v>
      </c>
      <c r="AO150" s="13">
        <f t="shared" si="44"/>
        <v>611.71</v>
      </c>
      <c r="AP150" s="13">
        <f t="shared" si="45"/>
        <v>407.81</v>
      </c>
      <c r="AQ150" s="13" t="str">
        <f t="shared" si="46"/>
        <v>TJ202512121712000269336</v>
      </c>
      <c r="AR150" s="13">
        <f t="shared" si="47"/>
        <v>0.05</v>
      </c>
    </row>
    <row r="151" spans="1:44">
      <c r="A151" s="12" t="s">
        <v>300</v>
      </c>
      <c r="B151" s="12" t="s">
        <v>76</v>
      </c>
      <c r="C151" s="12" t="s">
        <v>46</v>
      </c>
      <c r="D151" s="12" t="s">
        <v>47</v>
      </c>
      <c r="E151" s="12" t="s">
        <v>77</v>
      </c>
      <c r="F151" s="5">
        <f>ROUND(SUMIF([1]开票!$A$2:$A$1750,[1]申请!AQ151,[1]开票!$C$2:$C$1750),2)</f>
        <v>619.05</v>
      </c>
      <c r="G151" s="5">
        <f>ROUND(SUMIF([1]开票!$A$2:$A$1750,[1]申请!AQ151,[1]开票!$D$2:$D$1750),2)</f>
        <v>80596.64</v>
      </c>
      <c r="H151" s="5">
        <f>ROUND(SUMIF([1]开票!$A$2:$A$1750,[1]申请!AQ151,[1]开票!$E$2:$E$1750),2)</f>
        <v>30.95</v>
      </c>
      <c r="I151" s="5">
        <f t="shared" si="32"/>
        <v>81246.64</v>
      </c>
      <c r="J151" s="12"/>
      <c r="K151" s="12">
        <v>650</v>
      </c>
      <c r="L151" s="12"/>
      <c r="M151" s="12"/>
      <c r="N151" s="12"/>
      <c r="O151" s="12"/>
      <c r="P151" s="12"/>
      <c r="Q151" s="12"/>
      <c r="R151" s="12"/>
      <c r="S151" s="12">
        <v>59930.46</v>
      </c>
      <c r="T151" s="12">
        <v>1584.07</v>
      </c>
      <c r="U151" s="12">
        <v>14703.23</v>
      </c>
      <c r="V151" s="12">
        <v>4016</v>
      </c>
      <c r="W151" s="12"/>
      <c r="X151" s="12">
        <v>362.88</v>
      </c>
      <c r="Y151" s="12"/>
      <c r="Z151" s="12"/>
      <c r="AA151" s="12"/>
      <c r="AB151" s="12"/>
      <c r="AC151" s="12"/>
      <c r="AD151" s="12">
        <f t="shared" si="33"/>
        <v>81246.64</v>
      </c>
      <c r="AE151" s="13">
        <f t="shared" si="34"/>
        <v>0</v>
      </c>
      <c r="AF151" s="14">
        <f t="shared" si="35"/>
        <v>0</v>
      </c>
      <c r="AG151" s="13">
        <f t="shared" si="36"/>
        <v>30.95</v>
      </c>
      <c r="AH151" s="13">
        <f t="shared" si="37"/>
        <v>2.17</v>
      </c>
      <c r="AI151" s="13">
        <f t="shared" si="38"/>
        <v>0.93</v>
      </c>
      <c r="AJ151" s="13">
        <f t="shared" si="39"/>
        <v>0.62</v>
      </c>
      <c r="AK151" s="13">
        <f t="shared" si="40"/>
        <v>0</v>
      </c>
      <c r="AL151" s="13">
        <f t="shared" si="41"/>
        <v>0</v>
      </c>
      <c r="AM151" s="13">
        <f t="shared" si="42"/>
        <v>30.95</v>
      </c>
      <c r="AN151" s="13">
        <f t="shared" si="43"/>
        <v>2.17</v>
      </c>
      <c r="AO151" s="13">
        <f t="shared" si="44"/>
        <v>0.93</v>
      </c>
      <c r="AP151" s="13">
        <f t="shared" si="45"/>
        <v>0.62</v>
      </c>
      <c r="AQ151" s="13" t="str">
        <f t="shared" si="46"/>
        <v>TJ202512121719000240023</v>
      </c>
      <c r="AR151" s="13">
        <f t="shared" si="47"/>
        <v>0.05</v>
      </c>
    </row>
    <row r="152" spans="1:44">
      <c r="A152" s="12" t="s">
        <v>301</v>
      </c>
      <c r="B152" s="12" t="s">
        <v>76</v>
      </c>
      <c r="C152" s="12" t="s">
        <v>46</v>
      </c>
      <c r="D152" s="12" t="s">
        <v>47</v>
      </c>
      <c r="E152" s="12" t="s">
        <v>51</v>
      </c>
      <c r="F152" s="5">
        <f>ROUND(SUMIF([1]开票!$A$2:$A$1750,[1]申请!AQ152,[1]开票!$C$2:$C$1750),2)</f>
        <v>35.85</v>
      </c>
      <c r="G152" s="5">
        <f>ROUND(SUMIF([1]开票!$A$2:$A$1750,[1]申请!AQ152,[1]开票!$D$2:$D$1750),2)</f>
        <v>0</v>
      </c>
      <c r="H152" s="5">
        <f>ROUND(SUMIF([1]开票!$A$2:$A$1750,[1]申请!AQ152,[1]开票!$E$2:$E$1750),2)</f>
        <v>2.15</v>
      </c>
      <c r="I152" s="5">
        <f t="shared" si="32"/>
        <v>38</v>
      </c>
      <c r="J152" s="12"/>
      <c r="K152" s="12"/>
      <c r="L152" s="12"/>
      <c r="M152" s="12"/>
      <c r="N152" s="12"/>
      <c r="O152" s="12"/>
      <c r="P152" s="12">
        <v>11</v>
      </c>
      <c r="Q152" s="12"/>
      <c r="R152" s="12"/>
      <c r="S152" s="12"/>
      <c r="T152" s="12"/>
      <c r="U152" s="12"/>
      <c r="V152" s="12"/>
      <c r="W152" s="12">
        <v>27</v>
      </c>
      <c r="X152" s="12"/>
      <c r="Y152" s="12"/>
      <c r="Z152" s="12"/>
      <c r="AA152" s="12"/>
      <c r="AB152" s="12"/>
      <c r="AC152" s="12"/>
      <c r="AD152" s="12">
        <f t="shared" si="33"/>
        <v>38</v>
      </c>
      <c r="AE152" s="13">
        <f t="shared" si="34"/>
        <v>0</v>
      </c>
      <c r="AF152" s="14">
        <f t="shared" si="35"/>
        <v>0</v>
      </c>
      <c r="AG152" s="13">
        <f t="shared" si="36"/>
        <v>2.15</v>
      </c>
      <c r="AH152" s="13">
        <f t="shared" si="37"/>
        <v>0.15</v>
      </c>
      <c r="AI152" s="13">
        <f t="shared" si="38"/>
        <v>0.06</v>
      </c>
      <c r="AJ152" s="13">
        <f t="shared" si="39"/>
        <v>0.04</v>
      </c>
      <c r="AK152" s="13">
        <f t="shared" si="40"/>
        <v>0</v>
      </c>
      <c r="AL152" s="13">
        <f t="shared" si="41"/>
        <v>0</v>
      </c>
      <c r="AM152" s="13">
        <f t="shared" si="42"/>
        <v>2.15</v>
      </c>
      <c r="AN152" s="13">
        <f t="shared" si="43"/>
        <v>0.15</v>
      </c>
      <c r="AO152" s="13">
        <f t="shared" si="44"/>
        <v>0.06</v>
      </c>
      <c r="AP152" s="13">
        <f t="shared" si="45"/>
        <v>0.04</v>
      </c>
      <c r="AQ152" s="13" t="str">
        <f t="shared" si="46"/>
        <v>TJ202512121720000412017</v>
      </c>
      <c r="AR152" s="13">
        <f t="shared" si="47"/>
        <v>0.06</v>
      </c>
    </row>
    <row r="153" spans="1:44">
      <c r="A153" s="12" t="s">
        <v>302</v>
      </c>
      <c r="B153" s="12" t="s">
        <v>303</v>
      </c>
      <c r="C153" s="12" t="s">
        <v>54</v>
      </c>
      <c r="D153" s="12" t="s">
        <v>55</v>
      </c>
      <c r="E153" s="12" t="s">
        <v>51</v>
      </c>
      <c r="F153" s="5">
        <f>ROUND(SUMIF([1]开票!$A$2:$A$1750,[1]申请!AQ153,[1]开票!$C$2:$C$1750),2)</f>
        <v>57176.15</v>
      </c>
      <c r="G153" s="5">
        <f>ROUND(SUMIF([1]开票!$A$2:$A$1750,[1]申请!AQ153,[1]开票!$D$2:$D$1750),2)</f>
        <v>0</v>
      </c>
      <c r="H153" s="5">
        <f>ROUND(SUMIF([1]开票!$A$2:$A$1750,[1]申请!AQ153,[1]开票!$E$2:$E$1750),2)</f>
        <v>3430.57</v>
      </c>
      <c r="I153" s="5">
        <f t="shared" si="32"/>
        <v>60606.72</v>
      </c>
      <c r="J153" s="12"/>
      <c r="K153" s="12"/>
      <c r="L153" s="12">
        <v>60606.72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>
        <f t="shared" si="33"/>
        <v>60606.72</v>
      </c>
      <c r="AE153" s="13">
        <f t="shared" si="34"/>
        <v>0</v>
      </c>
      <c r="AF153" s="14">
        <f t="shared" si="35"/>
        <v>0</v>
      </c>
      <c r="AG153" s="13">
        <f t="shared" si="36"/>
        <v>3430.57</v>
      </c>
      <c r="AH153" s="13">
        <f t="shared" si="37"/>
        <v>240.14</v>
      </c>
      <c r="AI153" s="13">
        <f t="shared" si="38"/>
        <v>102.92</v>
      </c>
      <c r="AJ153" s="13">
        <f t="shared" si="39"/>
        <v>68.61</v>
      </c>
      <c r="AK153" s="13">
        <f t="shared" si="40"/>
        <v>0</v>
      </c>
      <c r="AL153" s="13">
        <f t="shared" si="41"/>
        <v>0</v>
      </c>
      <c r="AM153" s="13">
        <f t="shared" si="42"/>
        <v>3430.57</v>
      </c>
      <c r="AN153" s="13">
        <f t="shared" si="43"/>
        <v>240.14</v>
      </c>
      <c r="AO153" s="13">
        <f t="shared" si="44"/>
        <v>102.92</v>
      </c>
      <c r="AP153" s="13">
        <f t="shared" si="45"/>
        <v>68.61</v>
      </c>
      <c r="AQ153" s="13" t="str">
        <f t="shared" si="46"/>
        <v>TJ202512121739000248117</v>
      </c>
      <c r="AR153" s="13">
        <f t="shared" si="47"/>
        <v>0.06</v>
      </c>
    </row>
    <row r="154" spans="1:44">
      <c r="A154" s="18" t="s">
        <v>304</v>
      </c>
      <c r="B154" s="12" t="s">
        <v>305</v>
      </c>
      <c r="C154" s="12" t="s">
        <v>54</v>
      </c>
      <c r="D154" s="12" t="s">
        <v>55</v>
      </c>
      <c r="E154" s="12" t="s">
        <v>51</v>
      </c>
      <c r="F154" s="5">
        <f>ROUND(SUMIF([1]开票!$A$2:$A$1750,[1]申请!AQ154,[1]开票!$C$2:$C$1750),2)</f>
        <v>72592.9</v>
      </c>
      <c r="G154" s="5">
        <f>ROUND(SUMIF([1]开票!$A$2:$A$1750,[1]申请!AQ154,[1]开票!$D$2:$D$1750),2)</f>
        <v>0</v>
      </c>
      <c r="H154" s="5">
        <f>ROUND(SUMIF([1]开票!$A$2:$A$1750,[1]申请!AQ154,[1]开票!$E$2:$E$1750),2)</f>
        <v>4355.57</v>
      </c>
      <c r="I154" s="5">
        <f t="shared" si="32"/>
        <v>76948.47</v>
      </c>
      <c r="J154" s="12"/>
      <c r="K154" s="12"/>
      <c r="L154" s="15">
        <v>76948.47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>
        <f t="shared" si="33"/>
        <v>76948.47</v>
      </c>
      <c r="AE154" s="13">
        <f t="shared" si="34"/>
        <v>0</v>
      </c>
      <c r="AF154" s="14">
        <f t="shared" si="35"/>
        <v>0</v>
      </c>
      <c r="AG154" s="13">
        <f t="shared" si="36"/>
        <v>4355.57</v>
      </c>
      <c r="AH154" s="13">
        <f t="shared" si="37"/>
        <v>304.89</v>
      </c>
      <c r="AI154" s="13">
        <f t="shared" si="38"/>
        <v>130.67</v>
      </c>
      <c r="AJ154" s="13">
        <f t="shared" si="39"/>
        <v>87.11</v>
      </c>
      <c r="AK154" s="13">
        <f t="shared" si="40"/>
        <v>0</v>
      </c>
      <c r="AL154" s="13">
        <f t="shared" si="41"/>
        <v>0</v>
      </c>
      <c r="AM154" s="13">
        <f t="shared" si="42"/>
        <v>4355.57</v>
      </c>
      <c r="AN154" s="13">
        <f t="shared" si="43"/>
        <v>304.89</v>
      </c>
      <c r="AO154" s="13">
        <f t="shared" si="44"/>
        <v>130.67</v>
      </c>
      <c r="AP154" s="13">
        <f t="shared" si="45"/>
        <v>87.11</v>
      </c>
      <c r="AQ154" s="13" t="str">
        <f t="shared" si="46"/>
        <v>TJ202512121740000232540</v>
      </c>
      <c r="AR154" s="13">
        <f t="shared" si="47"/>
        <v>0.06</v>
      </c>
    </row>
    <row r="155" spans="1:44">
      <c r="A155" s="12" t="s">
        <v>306</v>
      </c>
      <c r="B155" s="12" t="s">
        <v>307</v>
      </c>
      <c r="C155" s="12" t="s">
        <v>54</v>
      </c>
      <c r="D155" s="12" t="s">
        <v>55</v>
      </c>
      <c r="E155" s="12" t="s">
        <v>51</v>
      </c>
      <c r="F155" s="5">
        <f>ROUND(SUMIF([1]开票!$A$2:$A$1750,[1]申请!AQ155,[1]开票!$C$2:$C$1750),2)</f>
        <v>15849.06</v>
      </c>
      <c r="G155" s="5">
        <f>ROUND(SUMIF([1]开票!$A$2:$A$1750,[1]申请!AQ155,[1]开票!$D$2:$D$1750),2)</f>
        <v>0</v>
      </c>
      <c r="H155" s="5">
        <f>ROUND(SUMIF([1]开票!$A$2:$A$1750,[1]申请!AQ155,[1]开票!$E$2:$E$1750),2)</f>
        <v>950.94</v>
      </c>
      <c r="I155" s="5">
        <f t="shared" si="32"/>
        <v>16800</v>
      </c>
      <c r="J155" s="12"/>
      <c r="K155" s="12"/>
      <c r="L155" s="12">
        <v>16800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>
        <f t="shared" si="33"/>
        <v>16800</v>
      </c>
      <c r="AE155" s="13">
        <f t="shared" si="34"/>
        <v>0</v>
      </c>
      <c r="AF155" s="14">
        <f t="shared" si="35"/>
        <v>0</v>
      </c>
      <c r="AG155" s="13">
        <f t="shared" si="36"/>
        <v>950.94</v>
      </c>
      <c r="AH155" s="13">
        <f t="shared" si="37"/>
        <v>66.57</v>
      </c>
      <c r="AI155" s="13">
        <f t="shared" si="38"/>
        <v>28.53</v>
      </c>
      <c r="AJ155" s="13">
        <f t="shared" si="39"/>
        <v>19.02</v>
      </c>
      <c r="AK155" s="13">
        <f t="shared" si="40"/>
        <v>0</v>
      </c>
      <c r="AL155" s="13">
        <f t="shared" si="41"/>
        <v>0</v>
      </c>
      <c r="AM155" s="13">
        <f t="shared" si="42"/>
        <v>950.94</v>
      </c>
      <c r="AN155" s="13">
        <f t="shared" si="43"/>
        <v>66.57</v>
      </c>
      <c r="AO155" s="13">
        <f t="shared" si="44"/>
        <v>28.53</v>
      </c>
      <c r="AP155" s="13">
        <f t="shared" si="45"/>
        <v>19.02</v>
      </c>
      <c r="AQ155" s="13" t="str">
        <f t="shared" si="46"/>
        <v>TJ202512121832000366683</v>
      </c>
      <c r="AR155" s="13">
        <f t="shared" si="47"/>
        <v>0.06</v>
      </c>
    </row>
    <row r="156" spans="1:44">
      <c r="A156" s="12" t="s">
        <v>308</v>
      </c>
      <c r="B156" s="12" t="s">
        <v>307</v>
      </c>
      <c r="C156" s="12" t="s">
        <v>260</v>
      </c>
      <c r="D156" s="12" t="s">
        <v>55</v>
      </c>
      <c r="E156" s="12" t="s">
        <v>48</v>
      </c>
      <c r="F156" s="5">
        <f>ROUND(SUMIF([1]开票!$A$2:$A$1750,[1]申请!AQ156,[1]开票!$C$2:$C$1750),2)</f>
        <v>234114.52</v>
      </c>
      <c r="G156" s="5">
        <f>ROUND(SUMIF([1]开票!$A$2:$A$1750,[1]申请!AQ156,[1]开票!$D$2:$D$1750),2)</f>
        <v>1165025.46</v>
      </c>
      <c r="H156" s="5">
        <f>ROUND(SUMIF([1]开票!$A$2:$A$1750,[1]申请!AQ156,[1]开票!$E$2:$E$1750),2)</f>
        <v>11705.73</v>
      </c>
      <c r="I156" s="5">
        <f t="shared" si="32"/>
        <v>1410845.71</v>
      </c>
      <c r="J156" s="12"/>
      <c r="K156" s="12"/>
      <c r="L156" s="12">
        <v>1410845.71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>
        <f t="shared" si="33"/>
        <v>1410845.71</v>
      </c>
      <c r="AE156" s="13">
        <f t="shared" si="34"/>
        <v>0</v>
      </c>
      <c r="AF156" s="14">
        <f t="shared" si="35"/>
        <v>0</v>
      </c>
      <c r="AG156" s="13">
        <f t="shared" si="36"/>
        <v>11705.73</v>
      </c>
      <c r="AH156" s="13">
        <f t="shared" si="37"/>
        <v>819.4</v>
      </c>
      <c r="AI156" s="13">
        <f t="shared" si="38"/>
        <v>351.17</v>
      </c>
      <c r="AJ156" s="13">
        <f t="shared" si="39"/>
        <v>234.11</v>
      </c>
      <c r="AK156" s="13">
        <f t="shared" si="40"/>
        <v>0</v>
      </c>
      <c r="AL156" s="13">
        <f t="shared" si="41"/>
        <v>0</v>
      </c>
      <c r="AM156" s="13">
        <f t="shared" si="42"/>
        <v>11705.73</v>
      </c>
      <c r="AN156" s="13">
        <f t="shared" si="43"/>
        <v>819.4</v>
      </c>
      <c r="AO156" s="13">
        <f t="shared" si="44"/>
        <v>351.17</v>
      </c>
      <c r="AP156" s="13">
        <f t="shared" si="45"/>
        <v>234.11</v>
      </c>
      <c r="AQ156" s="13" t="str">
        <f t="shared" si="46"/>
        <v>TJ202512121835000135231</v>
      </c>
      <c r="AR156" s="13">
        <f t="shared" si="47"/>
        <v>0.05</v>
      </c>
    </row>
    <row r="157" spans="1:44">
      <c r="A157" s="18" t="s">
        <v>309</v>
      </c>
      <c r="B157" s="12" t="s">
        <v>131</v>
      </c>
      <c r="C157" s="12" t="s">
        <v>132</v>
      </c>
      <c r="D157" s="12" t="s">
        <v>60</v>
      </c>
      <c r="E157" s="12" t="s">
        <v>51</v>
      </c>
      <c r="F157" s="5">
        <f>ROUND(SUMIF([1]开票!$A$2:$A$1750,[1]申请!AQ157,[1]开票!$C$2:$C$1750),2)</f>
        <v>572074.63</v>
      </c>
      <c r="G157" s="5">
        <f>ROUND(SUMIF([1]开票!$A$2:$A$1750,[1]申请!AQ157,[1]开票!$D$2:$D$1750),2)</f>
        <v>0</v>
      </c>
      <c r="H157" s="5">
        <f>ROUND(SUMIF([1]开票!$A$2:$A$1750,[1]申请!AQ157,[1]开票!$E$2:$E$1750),2)</f>
        <v>34324.48</v>
      </c>
      <c r="I157" s="5">
        <f t="shared" si="32"/>
        <v>606399.11</v>
      </c>
      <c r="J157" s="12"/>
      <c r="K157" s="12"/>
      <c r="L157" s="15"/>
      <c r="M157" s="12"/>
      <c r="N157" s="12"/>
      <c r="O157" s="12"/>
      <c r="P157" s="12"/>
      <c r="Q157" s="12">
        <v>30431.11</v>
      </c>
      <c r="R157" s="12"/>
      <c r="S157" s="12"/>
      <c r="T157" s="12"/>
      <c r="U157" s="12"/>
      <c r="V157" s="12"/>
      <c r="W157" s="12"/>
      <c r="X157" s="12"/>
      <c r="Y157" s="12"/>
      <c r="Z157" s="12">
        <v>575968</v>
      </c>
      <c r="AA157" s="12"/>
      <c r="AB157" s="12"/>
      <c r="AC157" s="12"/>
      <c r="AD157" s="12">
        <f t="shared" si="33"/>
        <v>606399.11</v>
      </c>
      <c r="AE157" s="13">
        <f t="shared" si="34"/>
        <v>0</v>
      </c>
      <c r="AF157" s="14">
        <f t="shared" si="35"/>
        <v>0</v>
      </c>
      <c r="AG157" s="13">
        <f t="shared" si="36"/>
        <v>34324.48</v>
      </c>
      <c r="AH157" s="13">
        <f t="shared" si="37"/>
        <v>2402.71</v>
      </c>
      <c r="AI157" s="13">
        <f t="shared" si="38"/>
        <v>1029.73</v>
      </c>
      <c r="AJ157" s="13">
        <f t="shared" si="39"/>
        <v>686.49</v>
      </c>
      <c r="AK157" s="13">
        <f t="shared" si="40"/>
        <v>0</v>
      </c>
      <c r="AL157" s="13">
        <f t="shared" si="41"/>
        <v>0</v>
      </c>
      <c r="AM157" s="13">
        <f t="shared" si="42"/>
        <v>34324.48</v>
      </c>
      <c r="AN157" s="13">
        <f t="shared" si="43"/>
        <v>2402.71</v>
      </c>
      <c r="AO157" s="13">
        <f t="shared" si="44"/>
        <v>1029.73</v>
      </c>
      <c r="AP157" s="13">
        <f t="shared" si="45"/>
        <v>686.49</v>
      </c>
      <c r="AQ157" s="13" t="str">
        <f t="shared" si="46"/>
        <v>TJ202512121857000332930</v>
      </c>
      <c r="AR157" s="13">
        <f t="shared" si="47"/>
        <v>0.06</v>
      </c>
    </row>
    <row r="158" spans="1:44">
      <c r="A158" s="12" t="s">
        <v>310</v>
      </c>
      <c r="B158" s="12" t="s">
        <v>311</v>
      </c>
      <c r="C158" s="12" t="s">
        <v>54</v>
      </c>
      <c r="D158" s="12" t="s">
        <v>55</v>
      </c>
      <c r="E158" s="12" t="s">
        <v>51</v>
      </c>
      <c r="F158" s="5">
        <f>ROUND(SUMIF([1]开票!$A$2:$A$1750,[1]申请!AQ158,[1]开票!$C$2:$C$1750),2)</f>
        <v>83852.99</v>
      </c>
      <c r="G158" s="5">
        <f>ROUND(SUMIF([1]开票!$A$2:$A$1750,[1]申请!AQ158,[1]开票!$D$2:$D$1750),2)</f>
        <v>0</v>
      </c>
      <c r="H158" s="5">
        <f>ROUND(SUMIF([1]开票!$A$2:$A$1750,[1]申请!AQ158,[1]开票!$E$2:$E$1750),2)</f>
        <v>5031.18</v>
      </c>
      <c r="I158" s="5">
        <f t="shared" si="32"/>
        <v>88884.17</v>
      </c>
      <c r="J158" s="12"/>
      <c r="K158" s="12"/>
      <c r="L158" s="12">
        <v>88884.17</v>
      </c>
      <c r="M158" s="12"/>
      <c r="N158" s="15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>
        <f t="shared" si="33"/>
        <v>88884.17</v>
      </c>
      <c r="AE158" s="13">
        <f t="shared" si="34"/>
        <v>0</v>
      </c>
      <c r="AF158" s="14">
        <f t="shared" si="35"/>
        <v>0</v>
      </c>
      <c r="AG158" s="13">
        <f t="shared" si="36"/>
        <v>5031.18</v>
      </c>
      <c r="AH158" s="13">
        <f t="shared" si="37"/>
        <v>352.18</v>
      </c>
      <c r="AI158" s="13">
        <f t="shared" si="38"/>
        <v>150.94</v>
      </c>
      <c r="AJ158" s="13">
        <f t="shared" si="39"/>
        <v>100.62</v>
      </c>
      <c r="AK158" s="13">
        <f t="shared" si="40"/>
        <v>0</v>
      </c>
      <c r="AL158" s="13">
        <f t="shared" si="41"/>
        <v>0</v>
      </c>
      <c r="AM158" s="13">
        <f t="shared" si="42"/>
        <v>5031.18</v>
      </c>
      <c r="AN158" s="13">
        <f t="shared" si="43"/>
        <v>352.18</v>
      </c>
      <c r="AO158" s="13">
        <f t="shared" si="44"/>
        <v>150.94</v>
      </c>
      <c r="AP158" s="13">
        <f t="shared" si="45"/>
        <v>100.62</v>
      </c>
      <c r="AQ158" s="13" t="str">
        <f t="shared" si="46"/>
        <v>TJ202512141813000589273</v>
      </c>
      <c r="AR158" s="13">
        <f t="shared" si="47"/>
        <v>0.06</v>
      </c>
    </row>
    <row r="159" spans="1:44">
      <c r="A159" s="12" t="s">
        <v>312</v>
      </c>
      <c r="B159" s="12" t="s">
        <v>311</v>
      </c>
      <c r="C159" s="12" t="s">
        <v>54</v>
      </c>
      <c r="D159" s="12" t="s">
        <v>55</v>
      </c>
      <c r="E159" s="12" t="s">
        <v>51</v>
      </c>
      <c r="F159" s="5">
        <f>ROUND(SUMIF([1]开票!$A$2:$A$1750,[1]申请!AQ159,[1]开票!$C$2:$C$1750),2)</f>
        <v>6709.56</v>
      </c>
      <c r="G159" s="5">
        <f>ROUND(SUMIF([1]开票!$A$2:$A$1750,[1]申请!AQ159,[1]开票!$D$2:$D$1750),2)</f>
        <v>0</v>
      </c>
      <c r="H159" s="5">
        <f>ROUND(SUMIF([1]开票!$A$2:$A$1750,[1]申请!AQ159,[1]开票!$E$2:$E$1750),2)</f>
        <v>402.57</v>
      </c>
      <c r="I159" s="5">
        <f t="shared" si="32"/>
        <v>7112.13</v>
      </c>
      <c r="J159" s="12"/>
      <c r="K159" s="12"/>
      <c r="L159" s="12">
        <v>7112.13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>
        <f t="shared" si="33"/>
        <v>7112.13</v>
      </c>
      <c r="AE159" s="13">
        <f t="shared" si="34"/>
        <v>0</v>
      </c>
      <c r="AF159" s="14">
        <f t="shared" si="35"/>
        <v>0</v>
      </c>
      <c r="AG159" s="13">
        <f t="shared" si="36"/>
        <v>402.57</v>
      </c>
      <c r="AH159" s="13">
        <f t="shared" si="37"/>
        <v>28.18</v>
      </c>
      <c r="AI159" s="13">
        <f t="shared" si="38"/>
        <v>12.08</v>
      </c>
      <c r="AJ159" s="13">
        <f t="shared" si="39"/>
        <v>8.05</v>
      </c>
      <c r="AK159" s="13">
        <f t="shared" si="40"/>
        <v>0</v>
      </c>
      <c r="AL159" s="13">
        <f t="shared" si="41"/>
        <v>0</v>
      </c>
      <c r="AM159" s="13">
        <f t="shared" si="42"/>
        <v>402.57</v>
      </c>
      <c r="AN159" s="13">
        <f t="shared" si="43"/>
        <v>28.18</v>
      </c>
      <c r="AO159" s="13">
        <f t="shared" si="44"/>
        <v>12.08</v>
      </c>
      <c r="AP159" s="13">
        <f t="shared" si="45"/>
        <v>8.05</v>
      </c>
      <c r="AQ159" s="13" t="str">
        <f t="shared" si="46"/>
        <v>TJ202512141814000488242</v>
      </c>
      <c r="AR159" s="13">
        <f t="shared" si="47"/>
        <v>0.06</v>
      </c>
    </row>
    <row r="160" spans="1:44">
      <c r="A160" s="12" t="s">
        <v>313</v>
      </c>
      <c r="B160" s="12" t="s">
        <v>311</v>
      </c>
      <c r="C160" s="12" t="s">
        <v>54</v>
      </c>
      <c r="D160" s="12" t="s">
        <v>55</v>
      </c>
      <c r="E160" s="12" t="s">
        <v>51</v>
      </c>
      <c r="F160" s="5">
        <f>ROUND(SUMIF([1]开票!$A$2:$A$1750,[1]申请!AQ160,[1]开票!$C$2:$C$1750),2)</f>
        <v>13866.2</v>
      </c>
      <c r="G160" s="5">
        <f>ROUND(SUMIF([1]开票!$A$2:$A$1750,[1]申请!AQ160,[1]开票!$D$2:$D$1750),2)</f>
        <v>0</v>
      </c>
      <c r="H160" s="5">
        <f>ROUND(SUMIF([1]开票!$A$2:$A$1750,[1]申请!AQ160,[1]开票!$E$2:$E$1750),2)</f>
        <v>831.97</v>
      </c>
      <c r="I160" s="5">
        <f t="shared" si="32"/>
        <v>14698.17</v>
      </c>
      <c r="J160" s="12"/>
      <c r="K160" s="12"/>
      <c r="L160" s="12">
        <v>14698.17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>
        <f t="shared" si="33"/>
        <v>14698.17</v>
      </c>
      <c r="AE160" s="13">
        <f t="shared" si="34"/>
        <v>0</v>
      </c>
      <c r="AF160" s="14">
        <f t="shared" si="35"/>
        <v>0</v>
      </c>
      <c r="AG160" s="13">
        <f t="shared" si="36"/>
        <v>831.97</v>
      </c>
      <c r="AH160" s="13">
        <f t="shared" si="37"/>
        <v>58.24</v>
      </c>
      <c r="AI160" s="13">
        <f t="shared" si="38"/>
        <v>24.96</v>
      </c>
      <c r="AJ160" s="13">
        <f t="shared" si="39"/>
        <v>16.64</v>
      </c>
      <c r="AK160" s="13">
        <f t="shared" si="40"/>
        <v>0</v>
      </c>
      <c r="AL160" s="13">
        <f t="shared" si="41"/>
        <v>0</v>
      </c>
      <c r="AM160" s="13">
        <f t="shared" si="42"/>
        <v>831.97</v>
      </c>
      <c r="AN160" s="13">
        <f t="shared" si="43"/>
        <v>58.24</v>
      </c>
      <c r="AO160" s="13">
        <f t="shared" si="44"/>
        <v>24.96</v>
      </c>
      <c r="AP160" s="13">
        <f t="shared" si="45"/>
        <v>16.64</v>
      </c>
      <c r="AQ160" s="13" t="str">
        <f t="shared" si="46"/>
        <v>TJ202512141815000392478</v>
      </c>
      <c r="AR160" s="13">
        <f t="shared" si="47"/>
        <v>0.06</v>
      </c>
    </row>
    <row r="161" spans="1:44">
      <c r="A161" s="12" t="s">
        <v>314</v>
      </c>
      <c r="B161" s="12" t="s">
        <v>311</v>
      </c>
      <c r="C161" s="12" t="s">
        <v>54</v>
      </c>
      <c r="D161" s="12" t="s">
        <v>55</v>
      </c>
      <c r="E161" s="12" t="s">
        <v>51</v>
      </c>
      <c r="F161" s="5">
        <f>ROUND(SUMIF([1]开票!$A$2:$A$1750,[1]申请!AQ161,[1]开票!$C$2:$C$1750),2)</f>
        <v>10390.68</v>
      </c>
      <c r="G161" s="5">
        <f>ROUND(SUMIF([1]开票!$A$2:$A$1750,[1]申请!AQ161,[1]开票!$D$2:$D$1750),2)</f>
        <v>0</v>
      </c>
      <c r="H161" s="5">
        <f>ROUND(SUMIF([1]开票!$A$2:$A$1750,[1]申请!AQ161,[1]开票!$E$2:$E$1750),2)</f>
        <v>623.44</v>
      </c>
      <c r="I161" s="5">
        <f t="shared" si="32"/>
        <v>11014.12</v>
      </c>
      <c r="J161" s="12"/>
      <c r="K161" s="12"/>
      <c r="L161" s="12">
        <v>11014.12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>
        <f t="shared" si="33"/>
        <v>11014.12</v>
      </c>
      <c r="AE161" s="13">
        <f t="shared" si="34"/>
        <v>0</v>
      </c>
      <c r="AF161" s="14">
        <f t="shared" si="35"/>
        <v>0</v>
      </c>
      <c r="AG161" s="13">
        <f t="shared" si="36"/>
        <v>623.44</v>
      </c>
      <c r="AH161" s="13">
        <f t="shared" si="37"/>
        <v>43.64</v>
      </c>
      <c r="AI161" s="13">
        <f t="shared" si="38"/>
        <v>18.7</v>
      </c>
      <c r="AJ161" s="13">
        <f t="shared" si="39"/>
        <v>12.47</v>
      </c>
      <c r="AK161" s="13">
        <f t="shared" si="40"/>
        <v>0</v>
      </c>
      <c r="AL161" s="13">
        <f t="shared" si="41"/>
        <v>0</v>
      </c>
      <c r="AM161" s="13">
        <f t="shared" si="42"/>
        <v>623.44</v>
      </c>
      <c r="AN161" s="13">
        <f t="shared" si="43"/>
        <v>43.64</v>
      </c>
      <c r="AO161" s="13">
        <f t="shared" si="44"/>
        <v>18.7</v>
      </c>
      <c r="AP161" s="13">
        <f t="shared" si="45"/>
        <v>12.47</v>
      </c>
      <c r="AQ161" s="13" t="str">
        <f t="shared" si="46"/>
        <v>TJ202512141816000286605</v>
      </c>
      <c r="AR161" s="13">
        <f t="shared" si="47"/>
        <v>0.06</v>
      </c>
    </row>
    <row r="162" spans="1:44">
      <c r="A162" s="12" t="s">
        <v>315</v>
      </c>
      <c r="B162" s="12" t="s">
        <v>311</v>
      </c>
      <c r="C162" s="12" t="s">
        <v>54</v>
      </c>
      <c r="D162" s="12" t="s">
        <v>55</v>
      </c>
      <c r="E162" s="12" t="s">
        <v>51</v>
      </c>
      <c r="F162" s="5">
        <f>ROUND(SUMIF([1]开票!$A$2:$A$1750,[1]申请!AQ162,[1]开票!$C$2:$C$1750),2)</f>
        <v>23926.32</v>
      </c>
      <c r="G162" s="5">
        <f>ROUND(SUMIF([1]开票!$A$2:$A$1750,[1]申请!AQ162,[1]开票!$D$2:$D$1750),2)</f>
        <v>0</v>
      </c>
      <c r="H162" s="5">
        <f>ROUND(SUMIF([1]开票!$A$2:$A$1750,[1]申请!AQ162,[1]开票!$E$2:$E$1750),2)</f>
        <v>1435.58</v>
      </c>
      <c r="I162" s="5">
        <f t="shared" si="32"/>
        <v>25361.9</v>
      </c>
      <c r="J162" s="12"/>
      <c r="K162" s="12"/>
      <c r="L162" s="12">
        <v>25361.9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>
        <f t="shared" si="33"/>
        <v>25361.9</v>
      </c>
      <c r="AE162" s="13">
        <f t="shared" si="34"/>
        <v>0</v>
      </c>
      <c r="AF162" s="14">
        <f t="shared" si="35"/>
        <v>0</v>
      </c>
      <c r="AG162" s="13">
        <f t="shared" si="36"/>
        <v>1435.58</v>
      </c>
      <c r="AH162" s="13">
        <f t="shared" si="37"/>
        <v>100.49</v>
      </c>
      <c r="AI162" s="13">
        <f t="shared" si="38"/>
        <v>43.07</v>
      </c>
      <c r="AJ162" s="13">
        <f t="shared" si="39"/>
        <v>28.71</v>
      </c>
      <c r="AK162" s="13">
        <f t="shared" si="40"/>
        <v>0</v>
      </c>
      <c r="AL162" s="13">
        <f t="shared" si="41"/>
        <v>0</v>
      </c>
      <c r="AM162" s="13">
        <f t="shared" si="42"/>
        <v>1435.58</v>
      </c>
      <c r="AN162" s="13">
        <f t="shared" si="43"/>
        <v>100.49</v>
      </c>
      <c r="AO162" s="13">
        <f t="shared" si="44"/>
        <v>43.07</v>
      </c>
      <c r="AP162" s="13">
        <f t="shared" si="45"/>
        <v>28.71</v>
      </c>
      <c r="AQ162" s="13" t="str">
        <f t="shared" si="46"/>
        <v>TJ202512141817000148846</v>
      </c>
      <c r="AR162" s="13">
        <f t="shared" si="47"/>
        <v>0.06</v>
      </c>
    </row>
    <row r="163" spans="1:44">
      <c r="A163" s="12" t="s">
        <v>316</v>
      </c>
      <c r="B163" s="12" t="s">
        <v>317</v>
      </c>
      <c r="C163" s="12" t="s">
        <v>54</v>
      </c>
      <c r="D163" s="12" t="s">
        <v>55</v>
      </c>
      <c r="E163" s="12" t="s">
        <v>51</v>
      </c>
      <c r="F163" s="5">
        <f>ROUND(SUMIF([1]开票!$A$2:$A$1750,[1]申请!AQ163,[1]开票!$C$2:$C$1750),2)</f>
        <v>30999.06</v>
      </c>
      <c r="G163" s="5">
        <f>ROUND(SUMIF([1]开票!$A$2:$A$1750,[1]申请!AQ163,[1]开票!$D$2:$D$1750),2)</f>
        <v>0</v>
      </c>
      <c r="H163" s="5">
        <f>ROUND(SUMIF([1]开票!$A$2:$A$1750,[1]申请!AQ163,[1]开票!$E$2:$E$1750),2)</f>
        <v>1859.94</v>
      </c>
      <c r="I163" s="5">
        <f t="shared" si="32"/>
        <v>32859</v>
      </c>
      <c r="J163" s="12"/>
      <c r="K163" s="12"/>
      <c r="L163" s="12">
        <v>32859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>
        <f t="shared" si="33"/>
        <v>32859</v>
      </c>
      <c r="AE163" s="21">
        <f t="shared" si="34"/>
        <v>0</v>
      </c>
      <c r="AF163" s="22">
        <f t="shared" si="35"/>
        <v>0</v>
      </c>
      <c r="AG163" s="21">
        <f t="shared" si="36"/>
        <v>1859.94</v>
      </c>
      <c r="AH163" s="21">
        <f t="shared" si="37"/>
        <v>130.2</v>
      </c>
      <c r="AI163" s="21">
        <f t="shared" si="38"/>
        <v>55.8</v>
      </c>
      <c r="AJ163" s="21">
        <f t="shared" si="39"/>
        <v>37.2</v>
      </c>
      <c r="AK163" s="21">
        <f t="shared" si="40"/>
        <v>0</v>
      </c>
      <c r="AL163" s="21">
        <f t="shared" si="41"/>
        <v>0</v>
      </c>
      <c r="AM163" s="21">
        <f t="shared" si="42"/>
        <v>1859.94</v>
      </c>
      <c r="AN163" s="21">
        <f t="shared" si="43"/>
        <v>130.2</v>
      </c>
      <c r="AO163" s="21">
        <f t="shared" si="44"/>
        <v>55.8</v>
      </c>
      <c r="AP163" s="21">
        <f t="shared" si="45"/>
        <v>37.2</v>
      </c>
      <c r="AQ163" s="21" t="str">
        <f t="shared" si="46"/>
        <v>TJ202512141818000052694</v>
      </c>
      <c r="AR163" s="21">
        <f t="shared" si="47"/>
        <v>0.06</v>
      </c>
    </row>
    <row r="164" spans="1:44">
      <c r="A164" s="12" t="s">
        <v>318</v>
      </c>
      <c r="B164" s="12" t="s">
        <v>311</v>
      </c>
      <c r="C164" s="12" t="s">
        <v>54</v>
      </c>
      <c r="D164" s="12" t="s">
        <v>55</v>
      </c>
      <c r="E164" s="12" t="s">
        <v>51</v>
      </c>
      <c r="F164" s="5">
        <f>ROUND(SUMIF([1]开票!$A$2:$A$1750,[1]申请!AQ164,[1]开票!$C$2:$C$1750),2)</f>
        <v>370159.4</v>
      </c>
      <c r="G164" s="5">
        <f>ROUND(SUMIF([1]开票!$A$2:$A$1750,[1]申请!AQ164,[1]开票!$D$2:$D$1750),2)</f>
        <v>0</v>
      </c>
      <c r="H164" s="5">
        <f>ROUND(SUMIF([1]开票!$A$2:$A$1750,[1]申请!AQ164,[1]开票!$E$2:$E$1750),2)</f>
        <v>22209.56</v>
      </c>
      <c r="I164" s="5">
        <f t="shared" si="32"/>
        <v>392368.96</v>
      </c>
      <c r="J164" s="12"/>
      <c r="K164" s="12"/>
      <c r="L164" s="12">
        <v>392368.96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>
        <f t="shared" si="33"/>
        <v>392368.96</v>
      </c>
      <c r="AE164" s="13">
        <f t="shared" si="34"/>
        <v>0</v>
      </c>
      <c r="AF164" s="14">
        <f t="shared" si="35"/>
        <v>0</v>
      </c>
      <c r="AG164" s="13">
        <f t="shared" si="36"/>
        <v>22209.56</v>
      </c>
      <c r="AH164" s="13">
        <f t="shared" si="37"/>
        <v>1554.67</v>
      </c>
      <c r="AI164" s="13">
        <f t="shared" si="38"/>
        <v>666.29</v>
      </c>
      <c r="AJ164" s="13">
        <f t="shared" si="39"/>
        <v>444.19</v>
      </c>
      <c r="AK164" s="13">
        <f t="shared" si="40"/>
        <v>0</v>
      </c>
      <c r="AL164" s="13">
        <f t="shared" si="41"/>
        <v>0</v>
      </c>
      <c r="AM164" s="13">
        <f t="shared" si="42"/>
        <v>22209.56</v>
      </c>
      <c r="AN164" s="13">
        <f t="shared" si="43"/>
        <v>1554.67</v>
      </c>
      <c r="AO164" s="13">
        <f t="shared" si="44"/>
        <v>666.29</v>
      </c>
      <c r="AP164" s="13">
        <f t="shared" si="45"/>
        <v>444.19</v>
      </c>
      <c r="AQ164" s="13" t="str">
        <f t="shared" si="46"/>
        <v>TJ202512141818000473537</v>
      </c>
      <c r="AR164" s="13">
        <f t="shared" si="47"/>
        <v>0.06</v>
      </c>
    </row>
    <row r="165" spans="1:44">
      <c r="A165" s="12" t="s">
        <v>319</v>
      </c>
      <c r="B165" s="12" t="s">
        <v>223</v>
      </c>
      <c r="C165" s="12" t="s">
        <v>54</v>
      </c>
      <c r="D165" s="12" t="s">
        <v>47</v>
      </c>
      <c r="E165" s="12" t="s">
        <v>51</v>
      </c>
      <c r="F165" s="5">
        <f>ROUND(SUMIF([1]开票!$A$2:$A$1750,[1]申请!AQ165,[1]开票!$C$2:$C$1750),2)</f>
        <v>20511081.05</v>
      </c>
      <c r="G165" s="5">
        <f>ROUND(SUMIF([1]开票!$A$2:$A$1750,[1]申请!AQ165,[1]开票!$D$2:$D$1750),2)</f>
        <v>0</v>
      </c>
      <c r="H165" s="5">
        <f>ROUND(SUMIF([1]开票!$A$2:$A$1750,[1]申请!AQ165,[1]开票!$E$2:$E$1750),2)</f>
        <v>1230664.85</v>
      </c>
      <c r="I165" s="5">
        <f t="shared" si="32"/>
        <v>21741745.9</v>
      </c>
      <c r="J165" s="12">
        <v>43170</v>
      </c>
      <c r="K165" s="12"/>
      <c r="L165" s="12"/>
      <c r="M165" s="12"/>
      <c r="N165" s="12"/>
      <c r="O165" s="12"/>
      <c r="P165" s="12"/>
      <c r="Q165" s="12"/>
      <c r="R165" s="12"/>
      <c r="S165" s="12">
        <v>20104388.52</v>
      </c>
      <c r="T165" s="12">
        <v>276971.19</v>
      </c>
      <c r="U165" s="12"/>
      <c r="V165" s="12"/>
      <c r="W165" s="12"/>
      <c r="X165" s="12"/>
      <c r="Y165" s="12">
        <v>1372528.19</v>
      </c>
      <c r="Z165" s="12"/>
      <c r="AA165" s="12"/>
      <c r="AB165" s="12">
        <v>-55312</v>
      </c>
      <c r="AC165" s="12"/>
      <c r="AD165" s="12">
        <f t="shared" si="33"/>
        <v>21741745.9</v>
      </c>
      <c r="AE165" s="13">
        <f t="shared" si="34"/>
        <v>0</v>
      </c>
      <c r="AF165" s="14">
        <f t="shared" si="35"/>
        <v>0</v>
      </c>
      <c r="AG165" s="13">
        <f t="shared" si="36"/>
        <v>1230664.85</v>
      </c>
      <c r="AH165" s="13">
        <f t="shared" si="37"/>
        <v>86146.54</v>
      </c>
      <c r="AI165" s="13">
        <f t="shared" si="38"/>
        <v>36919.95</v>
      </c>
      <c r="AJ165" s="13">
        <f t="shared" si="39"/>
        <v>24613.3</v>
      </c>
      <c r="AK165" s="13">
        <f t="shared" si="40"/>
        <v>1225471.59821429</v>
      </c>
      <c r="AL165" s="13">
        <f t="shared" si="41"/>
        <v>147056.59</v>
      </c>
      <c r="AM165" s="13">
        <f t="shared" si="42"/>
        <v>5193.25</v>
      </c>
      <c r="AN165" s="13">
        <f t="shared" si="43"/>
        <v>363.53</v>
      </c>
      <c r="AO165" s="13">
        <f t="shared" si="44"/>
        <v>155.8</v>
      </c>
      <c r="AP165" s="13">
        <f t="shared" si="45"/>
        <v>103.87</v>
      </c>
      <c r="AQ165" s="13" t="str">
        <f t="shared" si="46"/>
        <v>TJ202512150221000164028</v>
      </c>
      <c r="AR165" s="13">
        <f t="shared" si="47"/>
        <v>0.06</v>
      </c>
    </row>
    <row r="166" spans="1:44">
      <c r="A166" s="12" t="s">
        <v>320</v>
      </c>
      <c r="B166" s="12" t="s">
        <v>76</v>
      </c>
      <c r="C166" s="12" t="s">
        <v>46</v>
      </c>
      <c r="D166" s="12" t="s">
        <v>47</v>
      </c>
      <c r="E166" s="12" t="s">
        <v>77</v>
      </c>
      <c r="F166" s="5">
        <f>ROUND(SUMIF([1]开票!$A$2:$A$1750,[1]申请!AQ166,[1]开票!$C$2:$C$1750),2)</f>
        <v>495.24</v>
      </c>
      <c r="G166" s="5">
        <f>ROUND(SUMIF([1]开票!$A$2:$A$1750,[1]申请!AQ166,[1]开票!$D$2:$D$1750),2)</f>
        <v>73342.97</v>
      </c>
      <c r="H166" s="5">
        <f>ROUND(SUMIF([1]开票!$A$2:$A$1750,[1]申请!AQ166,[1]开票!$E$2:$E$1750),2)</f>
        <v>24.76</v>
      </c>
      <c r="I166" s="5">
        <f t="shared" si="32"/>
        <v>73862.97</v>
      </c>
      <c r="J166" s="12"/>
      <c r="K166" s="12">
        <v>520</v>
      </c>
      <c r="L166" s="12"/>
      <c r="M166" s="12"/>
      <c r="N166" s="12"/>
      <c r="O166" s="12"/>
      <c r="P166" s="12"/>
      <c r="Q166" s="12"/>
      <c r="R166" s="12"/>
      <c r="S166" s="12">
        <v>53515.65</v>
      </c>
      <c r="T166" s="12">
        <v>745.21</v>
      </c>
      <c r="U166" s="12">
        <v>14703.23</v>
      </c>
      <c r="V166" s="12">
        <v>4016</v>
      </c>
      <c r="W166" s="12"/>
      <c r="X166" s="12">
        <v>362.88</v>
      </c>
      <c r="Y166" s="12"/>
      <c r="Z166" s="12"/>
      <c r="AA166" s="12"/>
      <c r="AB166" s="12"/>
      <c r="AC166" s="12"/>
      <c r="AD166" s="12">
        <f t="shared" si="33"/>
        <v>73862.97</v>
      </c>
      <c r="AE166" s="13">
        <f t="shared" si="34"/>
        <v>0</v>
      </c>
      <c r="AF166" s="14">
        <f t="shared" si="35"/>
        <v>0</v>
      </c>
      <c r="AG166" s="13">
        <f t="shared" si="36"/>
        <v>24.76</v>
      </c>
      <c r="AH166" s="13">
        <f t="shared" si="37"/>
        <v>1.73</v>
      </c>
      <c r="AI166" s="13">
        <f t="shared" si="38"/>
        <v>0.74</v>
      </c>
      <c r="AJ166" s="13">
        <f t="shared" si="39"/>
        <v>0.5</v>
      </c>
      <c r="AK166" s="13">
        <f t="shared" si="40"/>
        <v>0</v>
      </c>
      <c r="AL166" s="13">
        <f t="shared" si="41"/>
        <v>0</v>
      </c>
      <c r="AM166" s="13">
        <f t="shared" si="42"/>
        <v>24.76</v>
      </c>
      <c r="AN166" s="13">
        <f t="shared" si="43"/>
        <v>1.73</v>
      </c>
      <c r="AO166" s="13">
        <f t="shared" si="44"/>
        <v>0.74</v>
      </c>
      <c r="AP166" s="13">
        <f t="shared" si="45"/>
        <v>0.5</v>
      </c>
      <c r="AQ166" s="13" t="str">
        <f t="shared" si="46"/>
        <v>TJ202512150912000327552</v>
      </c>
      <c r="AR166" s="13">
        <f t="shared" si="47"/>
        <v>0.05</v>
      </c>
    </row>
    <row r="167" spans="1:44">
      <c r="A167" s="12" t="s">
        <v>321</v>
      </c>
      <c r="B167" s="12" t="s">
        <v>322</v>
      </c>
      <c r="C167" s="12" t="s">
        <v>54</v>
      </c>
      <c r="D167" s="12" t="s">
        <v>55</v>
      </c>
      <c r="E167" s="12" t="s">
        <v>51</v>
      </c>
      <c r="F167" s="5">
        <f>ROUND(SUMIF([1]开票!$A$2:$A$1750,[1]申请!AQ167,[1]开票!$C$2:$C$1750),2)</f>
        <v>803197.56</v>
      </c>
      <c r="G167" s="5">
        <f>ROUND(SUMIF([1]开票!$A$2:$A$1750,[1]申请!AQ167,[1]开票!$D$2:$D$1750),2)</f>
        <v>0</v>
      </c>
      <c r="H167" s="5">
        <f>ROUND(SUMIF([1]开票!$A$2:$A$1750,[1]申请!AQ167,[1]开票!$E$2:$E$1750),2)</f>
        <v>48191.85</v>
      </c>
      <c r="I167" s="5">
        <f t="shared" si="32"/>
        <v>851389.41</v>
      </c>
      <c r="J167" s="12"/>
      <c r="K167" s="12"/>
      <c r="L167" s="12">
        <v>851389.41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>
        <f t="shared" si="33"/>
        <v>851389.41</v>
      </c>
      <c r="AE167" s="13">
        <f t="shared" si="34"/>
        <v>0</v>
      </c>
      <c r="AF167" s="14">
        <f t="shared" si="35"/>
        <v>0</v>
      </c>
      <c r="AG167" s="13">
        <f t="shared" si="36"/>
        <v>48191.85</v>
      </c>
      <c r="AH167" s="13">
        <f t="shared" si="37"/>
        <v>3373.43</v>
      </c>
      <c r="AI167" s="13">
        <f t="shared" si="38"/>
        <v>1445.76</v>
      </c>
      <c r="AJ167" s="13">
        <f t="shared" si="39"/>
        <v>963.84</v>
      </c>
      <c r="AK167" s="13">
        <f t="shared" si="40"/>
        <v>0</v>
      </c>
      <c r="AL167" s="13">
        <f t="shared" si="41"/>
        <v>0</v>
      </c>
      <c r="AM167" s="13">
        <f t="shared" si="42"/>
        <v>48191.85</v>
      </c>
      <c r="AN167" s="13">
        <f t="shared" si="43"/>
        <v>3373.43</v>
      </c>
      <c r="AO167" s="13">
        <f t="shared" si="44"/>
        <v>1445.76</v>
      </c>
      <c r="AP167" s="13">
        <f t="shared" si="45"/>
        <v>963.84</v>
      </c>
      <c r="AQ167" s="13" t="str">
        <f t="shared" si="46"/>
        <v>TJ202512150914000159931</v>
      </c>
      <c r="AR167" s="13">
        <f t="shared" si="47"/>
        <v>0.06</v>
      </c>
    </row>
    <row r="168" spans="1:44">
      <c r="A168" s="19" t="s">
        <v>323</v>
      </c>
      <c r="B168" s="12" t="s">
        <v>117</v>
      </c>
      <c r="C168" s="12" t="s">
        <v>54</v>
      </c>
      <c r="D168" s="12" t="s">
        <v>55</v>
      </c>
      <c r="E168" s="12" t="s">
        <v>51</v>
      </c>
      <c r="F168" s="5">
        <f>ROUND(SUMIF([1]开票!$A$2:$A$1750,[1]申请!AQ168,[1]开票!$C$2:$C$1750),2)</f>
        <v>67261.88</v>
      </c>
      <c r="G168" s="5">
        <f>ROUND(SUMIF([1]开票!$A$2:$A$1750,[1]申请!AQ168,[1]开票!$D$2:$D$1750),2)</f>
        <v>0</v>
      </c>
      <c r="H168" s="5">
        <f>ROUND(SUMIF([1]开票!$A$2:$A$1750,[1]申请!AQ168,[1]开票!$E$2:$E$1750),2)</f>
        <v>4035.71</v>
      </c>
      <c r="I168" s="5">
        <f t="shared" si="32"/>
        <v>71297.59</v>
      </c>
      <c r="J168" s="15"/>
      <c r="K168" s="12"/>
      <c r="L168" s="15">
        <v>71297.59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5"/>
      <c r="Z168" s="15"/>
      <c r="AA168" s="15"/>
      <c r="AB168" s="12"/>
      <c r="AC168" s="12"/>
      <c r="AD168" s="12">
        <f t="shared" si="33"/>
        <v>71297.59</v>
      </c>
      <c r="AE168" s="13">
        <f t="shared" si="34"/>
        <v>0</v>
      </c>
      <c r="AF168" s="14">
        <f t="shared" si="35"/>
        <v>0</v>
      </c>
      <c r="AG168" s="13">
        <f t="shared" si="36"/>
        <v>4035.71</v>
      </c>
      <c r="AH168" s="13">
        <f t="shared" si="37"/>
        <v>282.5</v>
      </c>
      <c r="AI168" s="13">
        <f t="shared" si="38"/>
        <v>121.07</v>
      </c>
      <c r="AJ168" s="13">
        <f t="shared" si="39"/>
        <v>80.71</v>
      </c>
      <c r="AK168" s="13">
        <f t="shared" si="40"/>
        <v>0</v>
      </c>
      <c r="AL168" s="13">
        <f t="shared" si="41"/>
        <v>0</v>
      </c>
      <c r="AM168" s="13">
        <f t="shared" si="42"/>
        <v>4035.71</v>
      </c>
      <c r="AN168" s="13">
        <f t="shared" si="43"/>
        <v>282.5</v>
      </c>
      <c r="AO168" s="13">
        <f t="shared" si="44"/>
        <v>121.07</v>
      </c>
      <c r="AP168" s="13">
        <f t="shared" si="45"/>
        <v>80.71</v>
      </c>
      <c r="AQ168" s="13" t="str">
        <f t="shared" si="46"/>
        <v>TJ202512150958000358986</v>
      </c>
      <c r="AR168" s="13">
        <f t="shared" si="47"/>
        <v>0.06</v>
      </c>
    </row>
    <row r="169" spans="1:44">
      <c r="A169" s="12" t="s">
        <v>324</v>
      </c>
      <c r="B169" s="12" t="s">
        <v>59</v>
      </c>
      <c r="C169" s="12" t="s">
        <v>54</v>
      </c>
      <c r="D169" s="12" t="s">
        <v>60</v>
      </c>
      <c r="E169" s="12" t="s">
        <v>51</v>
      </c>
      <c r="F169" s="5">
        <f>ROUND(SUMIF([1]开票!$A$2:$A$1750,[1]申请!AQ169,[1]开票!$C$2:$C$1750),2)</f>
        <v>852788.04</v>
      </c>
      <c r="G169" s="5">
        <f>ROUND(SUMIF([1]开票!$A$2:$A$1750,[1]申请!AQ169,[1]开票!$D$2:$D$1750),2)</f>
        <v>0</v>
      </c>
      <c r="H169" s="5">
        <f>ROUND(SUMIF([1]开票!$A$2:$A$1750,[1]申请!AQ169,[1]开票!$E$2:$E$1750),2)</f>
        <v>51167.28</v>
      </c>
      <c r="I169" s="5">
        <f t="shared" si="32"/>
        <v>903955.32</v>
      </c>
      <c r="J169" s="12"/>
      <c r="K169" s="12"/>
      <c r="L169" s="12"/>
      <c r="M169" s="12"/>
      <c r="N169" s="12"/>
      <c r="O169" s="12"/>
      <c r="P169" s="12"/>
      <c r="Q169" s="12">
        <v>59030.38</v>
      </c>
      <c r="R169" s="12"/>
      <c r="S169" s="12"/>
      <c r="T169" s="12"/>
      <c r="U169" s="12"/>
      <c r="V169" s="12"/>
      <c r="W169" s="12">
        <v>1634.01</v>
      </c>
      <c r="X169" s="12"/>
      <c r="Y169" s="12"/>
      <c r="Z169" s="12">
        <v>843290.93</v>
      </c>
      <c r="AA169" s="12"/>
      <c r="AB169" s="12"/>
      <c r="AC169" s="12"/>
      <c r="AD169" s="12">
        <f t="shared" si="33"/>
        <v>903955.32</v>
      </c>
      <c r="AE169" s="13">
        <f t="shared" si="34"/>
        <v>0</v>
      </c>
      <c r="AF169" s="14">
        <f t="shared" si="35"/>
        <v>0</v>
      </c>
      <c r="AG169" s="13">
        <f t="shared" si="36"/>
        <v>51167.28</v>
      </c>
      <c r="AH169" s="13">
        <f t="shared" si="37"/>
        <v>3581.71</v>
      </c>
      <c r="AI169" s="13">
        <f t="shared" si="38"/>
        <v>1535.02</v>
      </c>
      <c r="AJ169" s="13">
        <f t="shared" si="39"/>
        <v>1023.35</v>
      </c>
      <c r="AK169" s="13">
        <f t="shared" si="40"/>
        <v>0</v>
      </c>
      <c r="AL169" s="13">
        <f t="shared" si="41"/>
        <v>0</v>
      </c>
      <c r="AM169" s="13">
        <f t="shared" si="42"/>
        <v>51167.28</v>
      </c>
      <c r="AN169" s="13">
        <f t="shared" si="43"/>
        <v>3581.71</v>
      </c>
      <c r="AO169" s="13">
        <f t="shared" si="44"/>
        <v>1535.02</v>
      </c>
      <c r="AP169" s="13">
        <f t="shared" si="45"/>
        <v>1023.35</v>
      </c>
      <c r="AQ169" s="13" t="str">
        <f t="shared" si="46"/>
        <v>TJ202512151002000510886</v>
      </c>
      <c r="AR169" s="13">
        <f t="shared" si="47"/>
        <v>0.06</v>
      </c>
    </row>
    <row r="170" spans="1:44">
      <c r="A170" s="12" t="s">
        <v>325</v>
      </c>
      <c r="B170" s="12" t="s">
        <v>326</v>
      </c>
      <c r="C170" s="12" t="s">
        <v>120</v>
      </c>
      <c r="D170" s="12" t="s">
        <v>121</v>
      </c>
      <c r="E170" s="12" t="s">
        <v>51</v>
      </c>
      <c r="F170" s="5">
        <f>ROUND(SUMIF([1]开票!$A$2:$A$1750,[1]申请!AQ170,[1]开票!$C$2:$C$1750),2)</f>
        <v>1285513.2</v>
      </c>
      <c r="G170" s="5">
        <f>ROUND(SUMIF([1]开票!$A$2:$A$1750,[1]申请!AQ170,[1]开票!$D$2:$D$1750),2)</f>
        <v>0</v>
      </c>
      <c r="H170" s="5">
        <f>ROUND(SUMIF([1]开票!$A$2:$A$1750,[1]申请!AQ170,[1]开票!$E$2:$E$1750),2)</f>
        <v>77130.79</v>
      </c>
      <c r="I170" s="5">
        <f t="shared" si="32"/>
        <v>1362643.99</v>
      </c>
      <c r="J170" s="12"/>
      <c r="K170" s="12"/>
      <c r="L170" s="12">
        <v>1362643.99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>
        <f t="shared" si="33"/>
        <v>1362643.99</v>
      </c>
      <c r="AE170" s="13">
        <f t="shared" si="34"/>
        <v>0</v>
      </c>
      <c r="AF170" s="14">
        <f t="shared" si="35"/>
        <v>0</v>
      </c>
      <c r="AG170" s="13">
        <f t="shared" si="36"/>
        <v>77130.79</v>
      </c>
      <c r="AH170" s="13">
        <f t="shared" si="37"/>
        <v>5399.16</v>
      </c>
      <c r="AI170" s="13">
        <f t="shared" si="38"/>
        <v>2313.92</v>
      </c>
      <c r="AJ170" s="13">
        <f t="shared" si="39"/>
        <v>1542.62</v>
      </c>
      <c r="AK170" s="13">
        <f t="shared" si="40"/>
        <v>0</v>
      </c>
      <c r="AL170" s="13">
        <f t="shared" si="41"/>
        <v>0</v>
      </c>
      <c r="AM170" s="13">
        <f t="shared" si="42"/>
        <v>77130.79</v>
      </c>
      <c r="AN170" s="13">
        <f t="shared" si="43"/>
        <v>5399.16</v>
      </c>
      <c r="AO170" s="13">
        <f t="shared" si="44"/>
        <v>2313.92</v>
      </c>
      <c r="AP170" s="13">
        <f t="shared" si="45"/>
        <v>1542.62</v>
      </c>
      <c r="AQ170" s="13" t="str">
        <f t="shared" si="46"/>
        <v>TJ202512151003000526286</v>
      </c>
      <c r="AR170" s="13">
        <f t="shared" si="47"/>
        <v>0.06</v>
      </c>
    </row>
    <row r="171" spans="1:44">
      <c r="A171" s="12" t="s">
        <v>327</v>
      </c>
      <c r="B171" s="12" t="s">
        <v>328</v>
      </c>
      <c r="C171" s="12" t="s">
        <v>94</v>
      </c>
      <c r="D171" s="12" t="s">
        <v>95</v>
      </c>
      <c r="E171" s="12" t="s">
        <v>51</v>
      </c>
      <c r="F171" s="5">
        <f>ROUND(SUMIF([1]开票!$A$2:$A$1750,[1]申请!AQ171,[1]开票!$C$2:$C$1750),2)</f>
        <v>547.17</v>
      </c>
      <c r="G171" s="5">
        <f>ROUND(SUMIF([1]开票!$A$2:$A$1750,[1]申请!AQ171,[1]开票!$D$2:$D$1750),2)</f>
        <v>0</v>
      </c>
      <c r="H171" s="5">
        <f>ROUND(SUMIF([1]开票!$A$2:$A$1750,[1]申请!AQ171,[1]开票!$E$2:$E$1750),2)</f>
        <v>32.83</v>
      </c>
      <c r="I171" s="5">
        <f t="shared" si="32"/>
        <v>580</v>
      </c>
      <c r="J171" s="12"/>
      <c r="K171" s="12"/>
      <c r="L171" s="12"/>
      <c r="M171" s="12"/>
      <c r="N171" s="12"/>
      <c r="O171" s="12">
        <v>580</v>
      </c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>
        <f t="shared" si="33"/>
        <v>580</v>
      </c>
      <c r="AE171" s="13">
        <f t="shared" si="34"/>
        <v>0</v>
      </c>
      <c r="AF171" s="14">
        <f t="shared" si="35"/>
        <v>0</v>
      </c>
      <c r="AG171" s="13">
        <f t="shared" si="36"/>
        <v>32.83</v>
      </c>
      <c r="AH171" s="13">
        <f t="shared" si="37"/>
        <v>2.3</v>
      </c>
      <c r="AI171" s="13">
        <f t="shared" si="38"/>
        <v>0.98</v>
      </c>
      <c r="AJ171" s="13">
        <f t="shared" si="39"/>
        <v>0.66</v>
      </c>
      <c r="AK171" s="13">
        <f t="shared" si="40"/>
        <v>0</v>
      </c>
      <c r="AL171" s="13">
        <f t="shared" si="41"/>
        <v>0</v>
      </c>
      <c r="AM171" s="13">
        <f t="shared" si="42"/>
        <v>32.83</v>
      </c>
      <c r="AN171" s="13">
        <f t="shared" si="43"/>
        <v>2.3</v>
      </c>
      <c r="AO171" s="13">
        <f t="shared" si="44"/>
        <v>0.98</v>
      </c>
      <c r="AP171" s="13">
        <f t="shared" si="45"/>
        <v>0.66</v>
      </c>
      <c r="AQ171" s="13" t="str">
        <f t="shared" si="46"/>
        <v>TJ202512151007000229232</v>
      </c>
      <c r="AR171" s="13">
        <f t="shared" si="47"/>
        <v>0.06</v>
      </c>
    </row>
    <row r="172" spans="1:44">
      <c r="A172" s="12" t="s">
        <v>329</v>
      </c>
      <c r="B172" s="12" t="s">
        <v>330</v>
      </c>
      <c r="C172" s="12" t="s">
        <v>94</v>
      </c>
      <c r="D172" s="12" t="s">
        <v>95</v>
      </c>
      <c r="E172" s="12" t="s">
        <v>51</v>
      </c>
      <c r="F172" s="5">
        <f>ROUND(SUMIF([1]开票!$A$2:$A$1750,[1]申请!AQ172,[1]开票!$C$2:$C$1750),2)</f>
        <v>273.58</v>
      </c>
      <c r="G172" s="5">
        <f>ROUND(SUMIF([1]开票!$A$2:$A$1750,[1]申请!AQ172,[1]开票!$D$2:$D$1750),2)</f>
        <v>0</v>
      </c>
      <c r="H172" s="5">
        <f>ROUND(SUMIF([1]开票!$A$2:$A$1750,[1]申请!AQ172,[1]开票!$E$2:$E$1750),2)</f>
        <v>16.42</v>
      </c>
      <c r="I172" s="5">
        <f t="shared" si="32"/>
        <v>290</v>
      </c>
      <c r="J172" s="12"/>
      <c r="K172" s="12"/>
      <c r="L172" s="12"/>
      <c r="M172" s="12"/>
      <c r="N172" s="12"/>
      <c r="O172" s="12">
        <v>290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>
        <f t="shared" si="33"/>
        <v>290</v>
      </c>
      <c r="AE172" s="13">
        <f t="shared" si="34"/>
        <v>0</v>
      </c>
      <c r="AF172" s="14">
        <f t="shared" si="35"/>
        <v>0</v>
      </c>
      <c r="AG172" s="13">
        <f t="shared" si="36"/>
        <v>16.42</v>
      </c>
      <c r="AH172" s="13">
        <f t="shared" si="37"/>
        <v>1.15</v>
      </c>
      <c r="AI172" s="13">
        <f t="shared" si="38"/>
        <v>0.49</v>
      </c>
      <c r="AJ172" s="13">
        <f t="shared" si="39"/>
        <v>0.33</v>
      </c>
      <c r="AK172" s="13">
        <f t="shared" si="40"/>
        <v>0</v>
      </c>
      <c r="AL172" s="13">
        <f t="shared" si="41"/>
        <v>0</v>
      </c>
      <c r="AM172" s="13">
        <f t="shared" si="42"/>
        <v>16.42</v>
      </c>
      <c r="AN172" s="13">
        <f t="shared" si="43"/>
        <v>1.15</v>
      </c>
      <c r="AO172" s="13">
        <f t="shared" si="44"/>
        <v>0.49</v>
      </c>
      <c r="AP172" s="13">
        <f t="shared" si="45"/>
        <v>0.33</v>
      </c>
      <c r="AQ172" s="13" t="str">
        <f t="shared" si="46"/>
        <v>TJ202512151007000563070</v>
      </c>
      <c r="AR172" s="13">
        <f t="shared" si="47"/>
        <v>0.06</v>
      </c>
    </row>
    <row r="173" spans="1:44">
      <c r="A173" s="12" t="s">
        <v>331</v>
      </c>
      <c r="B173" s="12" t="s">
        <v>326</v>
      </c>
      <c r="C173" s="12" t="s">
        <v>120</v>
      </c>
      <c r="D173" s="12" t="s">
        <v>121</v>
      </c>
      <c r="E173" s="12" t="s">
        <v>51</v>
      </c>
      <c r="F173" s="5">
        <f>ROUND(SUMIF([1]开票!$A$2:$A$1750,[1]申请!AQ173,[1]开票!$C$2:$C$1750),2)</f>
        <v>762339.96</v>
      </c>
      <c r="G173" s="5">
        <f>ROUND(SUMIF([1]开票!$A$2:$A$1750,[1]申请!AQ173,[1]开票!$D$2:$D$1750),2)</f>
        <v>0</v>
      </c>
      <c r="H173" s="5">
        <f>ROUND(SUMIF([1]开票!$A$2:$A$1750,[1]申请!AQ173,[1]开票!$E$2:$E$1750),2)</f>
        <v>45740.4</v>
      </c>
      <c r="I173" s="5">
        <f t="shared" si="32"/>
        <v>808080.36</v>
      </c>
      <c r="J173" s="12"/>
      <c r="K173" s="12"/>
      <c r="L173" s="12">
        <v>808080.36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>
        <f t="shared" si="33"/>
        <v>808080.36</v>
      </c>
      <c r="AE173" s="13">
        <f t="shared" si="34"/>
        <v>0</v>
      </c>
      <c r="AF173" s="14">
        <f t="shared" si="35"/>
        <v>0</v>
      </c>
      <c r="AG173" s="13">
        <f t="shared" si="36"/>
        <v>45740.4</v>
      </c>
      <c r="AH173" s="13">
        <f t="shared" si="37"/>
        <v>3201.83</v>
      </c>
      <c r="AI173" s="13">
        <f t="shared" si="38"/>
        <v>1372.21</v>
      </c>
      <c r="AJ173" s="13">
        <f t="shared" si="39"/>
        <v>914.81</v>
      </c>
      <c r="AK173" s="13">
        <f t="shared" si="40"/>
        <v>0</v>
      </c>
      <c r="AL173" s="13">
        <f t="shared" si="41"/>
        <v>0</v>
      </c>
      <c r="AM173" s="13">
        <f t="shared" si="42"/>
        <v>45740.4</v>
      </c>
      <c r="AN173" s="13">
        <f t="shared" si="43"/>
        <v>3201.83</v>
      </c>
      <c r="AO173" s="13">
        <f t="shared" si="44"/>
        <v>1372.21</v>
      </c>
      <c r="AP173" s="13">
        <f t="shared" si="45"/>
        <v>914.81</v>
      </c>
      <c r="AQ173" s="13" t="str">
        <f t="shared" si="46"/>
        <v>TJ202512151009000232370</v>
      </c>
      <c r="AR173" s="13">
        <f t="shared" si="47"/>
        <v>0.06</v>
      </c>
    </row>
    <row r="174" spans="1:44">
      <c r="A174" s="12" t="s">
        <v>332</v>
      </c>
      <c r="B174" s="12" t="s">
        <v>234</v>
      </c>
      <c r="C174" s="12" t="s">
        <v>46</v>
      </c>
      <c r="D174" s="12" t="s">
        <v>47</v>
      </c>
      <c r="E174" s="12" t="s">
        <v>48</v>
      </c>
      <c r="F174" s="5">
        <f>ROUND(SUMIF([1]开票!$A$2:$A$1750,[1]申请!AQ174,[1]开票!$C$2:$C$1750),2)</f>
        <v>47.62</v>
      </c>
      <c r="G174" s="5">
        <f>ROUND(SUMIF([1]开票!$A$2:$A$1750,[1]申请!AQ174,[1]开票!$D$2:$D$1750),2)</f>
        <v>3983.64</v>
      </c>
      <c r="H174" s="5">
        <f>ROUND(SUMIF([1]开票!$A$2:$A$1750,[1]申请!AQ174,[1]开票!$E$2:$E$1750),2)</f>
        <v>2.38</v>
      </c>
      <c r="I174" s="5">
        <f t="shared" si="32"/>
        <v>4033.64</v>
      </c>
      <c r="J174" s="12">
        <v>50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>
        <v>3471.8</v>
      </c>
      <c r="V174" s="12">
        <v>380</v>
      </c>
      <c r="W174" s="12"/>
      <c r="X174" s="12">
        <v>131.84</v>
      </c>
      <c r="Y174" s="12"/>
      <c r="Z174" s="12"/>
      <c r="AA174" s="12"/>
      <c r="AB174" s="12"/>
      <c r="AC174" s="12"/>
      <c r="AD174" s="12">
        <f t="shared" si="33"/>
        <v>4033.64</v>
      </c>
      <c r="AE174" s="13">
        <f t="shared" si="34"/>
        <v>0</v>
      </c>
      <c r="AF174" s="14">
        <f t="shared" si="35"/>
        <v>0</v>
      </c>
      <c r="AG174" s="13">
        <f t="shared" si="36"/>
        <v>2.38</v>
      </c>
      <c r="AH174" s="13">
        <f t="shared" si="37"/>
        <v>0.17</v>
      </c>
      <c r="AI174" s="13">
        <f t="shared" si="38"/>
        <v>0.07</v>
      </c>
      <c r="AJ174" s="13">
        <f t="shared" si="39"/>
        <v>0.05</v>
      </c>
      <c r="AK174" s="13">
        <f t="shared" si="40"/>
        <v>0</v>
      </c>
      <c r="AL174" s="13">
        <f t="shared" si="41"/>
        <v>0</v>
      </c>
      <c r="AM174" s="13">
        <f t="shared" si="42"/>
        <v>2.38</v>
      </c>
      <c r="AN174" s="13">
        <f t="shared" si="43"/>
        <v>0.17</v>
      </c>
      <c r="AO174" s="13">
        <f t="shared" si="44"/>
        <v>0.07</v>
      </c>
      <c r="AP174" s="13">
        <f t="shared" si="45"/>
        <v>0.05</v>
      </c>
      <c r="AQ174" s="13" t="str">
        <f t="shared" si="46"/>
        <v>TJ202512151009000557643</v>
      </c>
      <c r="AR174" s="13">
        <f t="shared" si="47"/>
        <v>0.05</v>
      </c>
    </row>
    <row r="175" spans="1:44">
      <c r="A175" s="12" t="s">
        <v>333</v>
      </c>
      <c r="B175" s="12" t="s">
        <v>326</v>
      </c>
      <c r="C175" s="12" t="s">
        <v>120</v>
      </c>
      <c r="D175" s="12" t="s">
        <v>121</v>
      </c>
      <c r="E175" s="12" t="s">
        <v>51</v>
      </c>
      <c r="F175" s="5">
        <f>ROUND(SUMIF([1]开票!$A$2:$A$1750,[1]申请!AQ175,[1]开票!$C$2:$C$1750),2)</f>
        <v>668446.07</v>
      </c>
      <c r="G175" s="5">
        <f>ROUND(SUMIF([1]开票!$A$2:$A$1750,[1]申请!AQ175,[1]开票!$D$2:$D$1750),2)</f>
        <v>0</v>
      </c>
      <c r="H175" s="5">
        <f>ROUND(SUMIF([1]开票!$A$2:$A$1750,[1]申请!AQ175,[1]开票!$E$2:$E$1750),2)</f>
        <v>40106.76</v>
      </c>
      <c r="I175" s="5">
        <f t="shared" si="32"/>
        <v>708552.83</v>
      </c>
      <c r="J175" s="12"/>
      <c r="K175" s="12"/>
      <c r="L175" s="12">
        <v>708552.83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>
        <f t="shared" si="33"/>
        <v>708552.83</v>
      </c>
      <c r="AE175" s="13">
        <f t="shared" si="34"/>
        <v>0</v>
      </c>
      <c r="AF175" s="14">
        <f t="shared" si="35"/>
        <v>0</v>
      </c>
      <c r="AG175" s="13">
        <f t="shared" si="36"/>
        <v>40106.76</v>
      </c>
      <c r="AH175" s="13">
        <f t="shared" si="37"/>
        <v>2807.47</v>
      </c>
      <c r="AI175" s="13">
        <f t="shared" si="38"/>
        <v>1203.2</v>
      </c>
      <c r="AJ175" s="13">
        <f t="shared" si="39"/>
        <v>802.14</v>
      </c>
      <c r="AK175" s="13">
        <f t="shared" si="40"/>
        <v>0</v>
      </c>
      <c r="AL175" s="13">
        <f t="shared" si="41"/>
        <v>0</v>
      </c>
      <c r="AM175" s="13">
        <f t="shared" si="42"/>
        <v>40106.76</v>
      </c>
      <c r="AN175" s="13">
        <f t="shared" si="43"/>
        <v>2807.47</v>
      </c>
      <c r="AO175" s="13">
        <f t="shared" si="44"/>
        <v>1203.2</v>
      </c>
      <c r="AP175" s="13">
        <f t="shared" si="45"/>
        <v>802.14</v>
      </c>
      <c r="AQ175" s="13" t="str">
        <f t="shared" si="46"/>
        <v>TJ202512151010000318692</v>
      </c>
      <c r="AR175" s="13">
        <f t="shared" si="47"/>
        <v>0.06</v>
      </c>
    </row>
    <row r="176" spans="1:44">
      <c r="A176" s="12" t="s">
        <v>334</v>
      </c>
      <c r="B176" s="12" t="s">
        <v>335</v>
      </c>
      <c r="C176" s="12" t="s">
        <v>120</v>
      </c>
      <c r="D176" s="12" t="s">
        <v>121</v>
      </c>
      <c r="E176" s="12" t="s">
        <v>51</v>
      </c>
      <c r="F176" s="5">
        <f>ROUND(SUMIF([1]开票!$A$2:$A$1750,[1]申请!AQ176,[1]开票!$C$2:$C$1750),2)</f>
        <v>74164.51</v>
      </c>
      <c r="G176" s="5">
        <f>ROUND(SUMIF([1]开票!$A$2:$A$1750,[1]申请!AQ176,[1]开票!$D$2:$D$1750),2)</f>
        <v>0</v>
      </c>
      <c r="H176" s="5">
        <f>ROUND(SUMIF([1]开票!$A$2:$A$1750,[1]申请!AQ176,[1]开票!$E$2:$E$1750),2)</f>
        <v>4449.87</v>
      </c>
      <c r="I176" s="5">
        <f t="shared" si="32"/>
        <v>78614.38</v>
      </c>
      <c r="J176" s="12"/>
      <c r="K176" s="12"/>
      <c r="L176" s="12">
        <v>78614.38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>
        <f t="shared" si="33"/>
        <v>78614.38</v>
      </c>
      <c r="AE176" s="13">
        <f t="shared" si="34"/>
        <v>0</v>
      </c>
      <c r="AF176" s="14">
        <f t="shared" si="35"/>
        <v>0</v>
      </c>
      <c r="AG176" s="13">
        <f t="shared" si="36"/>
        <v>4449.87</v>
      </c>
      <c r="AH176" s="13">
        <f t="shared" si="37"/>
        <v>311.49</v>
      </c>
      <c r="AI176" s="13">
        <f t="shared" si="38"/>
        <v>133.5</v>
      </c>
      <c r="AJ176" s="13">
        <f t="shared" si="39"/>
        <v>89</v>
      </c>
      <c r="AK176" s="13">
        <f t="shared" si="40"/>
        <v>0</v>
      </c>
      <c r="AL176" s="13">
        <f t="shared" si="41"/>
        <v>0</v>
      </c>
      <c r="AM176" s="13">
        <f t="shared" si="42"/>
        <v>4449.87</v>
      </c>
      <c r="AN176" s="13">
        <f t="shared" si="43"/>
        <v>311.49</v>
      </c>
      <c r="AO176" s="13">
        <f t="shared" si="44"/>
        <v>133.5</v>
      </c>
      <c r="AP176" s="13">
        <f t="shared" si="45"/>
        <v>89</v>
      </c>
      <c r="AQ176" s="13" t="str">
        <f t="shared" si="46"/>
        <v>TJ202512151011000372454</v>
      </c>
      <c r="AR176" s="13">
        <f t="shared" si="47"/>
        <v>0.06</v>
      </c>
    </row>
    <row r="177" spans="1:44">
      <c r="A177" s="12" t="s">
        <v>336</v>
      </c>
      <c r="B177" s="12" t="s">
        <v>326</v>
      </c>
      <c r="C177" s="12" t="s">
        <v>120</v>
      </c>
      <c r="D177" s="12" t="s">
        <v>121</v>
      </c>
      <c r="E177" s="12" t="s">
        <v>51</v>
      </c>
      <c r="F177" s="5">
        <f>ROUND(SUMIF([1]开票!$A$2:$A$1750,[1]申请!AQ177,[1]开票!$C$2:$C$1750),2)</f>
        <v>234423.79</v>
      </c>
      <c r="G177" s="5">
        <f>ROUND(SUMIF([1]开票!$A$2:$A$1750,[1]申请!AQ177,[1]开票!$D$2:$D$1750),2)</f>
        <v>0</v>
      </c>
      <c r="H177" s="5">
        <f>ROUND(SUMIF([1]开票!$A$2:$A$1750,[1]申请!AQ177,[1]开票!$E$2:$E$1750),2)</f>
        <v>14065.43</v>
      </c>
      <c r="I177" s="5">
        <f t="shared" si="32"/>
        <v>248489.22</v>
      </c>
      <c r="J177" s="12"/>
      <c r="K177" s="12"/>
      <c r="L177" s="12">
        <v>248489.22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>
        <f t="shared" si="33"/>
        <v>248489.22</v>
      </c>
      <c r="AE177" s="13">
        <f t="shared" si="34"/>
        <v>0</v>
      </c>
      <c r="AF177" s="14">
        <f t="shared" si="35"/>
        <v>0</v>
      </c>
      <c r="AG177" s="13">
        <f t="shared" si="36"/>
        <v>14065.43</v>
      </c>
      <c r="AH177" s="13">
        <f t="shared" si="37"/>
        <v>984.58</v>
      </c>
      <c r="AI177" s="13">
        <f t="shared" si="38"/>
        <v>421.96</v>
      </c>
      <c r="AJ177" s="13">
        <f t="shared" si="39"/>
        <v>281.31</v>
      </c>
      <c r="AK177" s="13">
        <f t="shared" si="40"/>
        <v>0</v>
      </c>
      <c r="AL177" s="13">
        <f t="shared" si="41"/>
        <v>0</v>
      </c>
      <c r="AM177" s="13">
        <f t="shared" si="42"/>
        <v>14065.43</v>
      </c>
      <c r="AN177" s="13">
        <f t="shared" si="43"/>
        <v>984.58</v>
      </c>
      <c r="AO177" s="13">
        <f t="shared" si="44"/>
        <v>421.96</v>
      </c>
      <c r="AP177" s="13">
        <f t="shared" si="45"/>
        <v>281.31</v>
      </c>
      <c r="AQ177" s="13" t="str">
        <f t="shared" si="46"/>
        <v>TJ202512151013000599833</v>
      </c>
      <c r="AR177" s="13">
        <f t="shared" si="47"/>
        <v>0.06</v>
      </c>
    </row>
    <row r="178" spans="1:44">
      <c r="A178" s="12" t="s">
        <v>337</v>
      </c>
      <c r="B178" s="12" t="s">
        <v>326</v>
      </c>
      <c r="C178" s="12" t="s">
        <v>120</v>
      </c>
      <c r="D178" s="12" t="s">
        <v>121</v>
      </c>
      <c r="E178" s="12" t="s">
        <v>51</v>
      </c>
      <c r="F178" s="5">
        <f>ROUND(SUMIF([1]开票!$A$2:$A$1750,[1]申请!AQ178,[1]开票!$C$2:$C$1750),2)</f>
        <v>114576.91</v>
      </c>
      <c r="G178" s="5">
        <f>ROUND(SUMIF([1]开票!$A$2:$A$1750,[1]申请!AQ178,[1]开票!$D$2:$D$1750),2)</f>
        <v>0</v>
      </c>
      <c r="H178" s="5">
        <f>ROUND(SUMIF([1]开票!$A$2:$A$1750,[1]申请!AQ178,[1]开票!$E$2:$E$1750),2)</f>
        <v>6874.61</v>
      </c>
      <c r="I178" s="5">
        <f t="shared" si="32"/>
        <v>121451.52</v>
      </c>
      <c r="J178" s="12"/>
      <c r="K178" s="12"/>
      <c r="L178" s="12">
        <v>121451.52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>
        <f t="shared" si="33"/>
        <v>121451.52</v>
      </c>
      <c r="AE178" s="13">
        <f t="shared" si="34"/>
        <v>0</v>
      </c>
      <c r="AF178" s="14">
        <f t="shared" si="35"/>
        <v>0</v>
      </c>
      <c r="AG178" s="13">
        <f t="shared" si="36"/>
        <v>6874.61</v>
      </c>
      <c r="AH178" s="13">
        <f t="shared" si="37"/>
        <v>481.22</v>
      </c>
      <c r="AI178" s="13">
        <f t="shared" si="38"/>
        <v>206.24</v>
      </c>
      <c r="AJ178" s="13">
        <f t="shared" si="39"/>
        <v>137.49</v>
      </c>
      <c r="AK178" s="13">
        <f t="shared" si="40"/>
        <v>0</v>
      </c>
      <c r="AL178" s="13">
        <f t="shared" si="41"/>
        <v>0</v>
      </c>
      <c r="AM178" s="13">
        <f t="shared" si="42"/>
        <v>6874.61</v>
      </c>
      <c r="AN178" s="13">
        <f t="shared" si="43"/>
        <v>481.22</v>
      </c>
      <c r="AO178" s="13">
        <f t="shared" si="44"/>
        <v>206.24</v>
      </c>
      <c r="AP178" s="13">
        <f t="shared" si="45"/>
        <v>137.49</v>
      </c>
      <c r="AQ178" s="13" t="str">
        <f t="shared" si="46"/>
        <v>TJ202512151015000017325</v>
      </c>
      <c r="AR178" s="13">
        <f t="shared" si="47"/>
        <v>0.06</v>
      </c>
    </row>
    <row r="179" spans="1:44">
      <c r="A179" s="19" t="s">
        <v>338</v>
      </c>
      <c r="B179" s="12" t="s">
        <v>326</v>
      </c>
      <c r="C179" s="12" t="s">
        <v>120</v>
      </c>
      <c r="D179" s="12" t="s">
        <v>121</v>
      </c>
      <c r="E179" s="12" t="s">
        <v>51</v>
      </c>
      <c r="F179" s="5">
        <f>ROUND(SUMIF([1]开票!$A$2:$A$1750,[1]申请!AQ179,[1]开票!$C$2:$C$1750),2)</f>
        <v>377203</v>
      </c>
      <c r="G179" s="5">
        <f>ROUND(SUMIF([1]开票!$A$2:$A$1750,[1]申请!AQ179,[1]开票!$D$2:$D$1750),2)</f>
        <v>0</v>
      </c>
      <c r="H179" s="5">
        <f>ROUND(SUMIF([1]开票!$A$2:$A$1750,[1]申请!AQ179,[1]开票!$E$2:$E$1750),2)</f>
        <v>22632.18</v>
      </c>
      <c r="I179" s="5">
        <f t="shared" si="32"/>
        <v>399835.18</v>
      </c>
      <c r="J179" s="12"/>
      <c r="K179" s="12"/>
      <c r="L179" s="12">
        <v>399835.18</v>
      </c>
      <c r="M179" s="12"/>
      <c r="N179" s="12"/>
      <c r="O179" s="12"/>
      <c r="P179" s="12"/>
      <c r="Q179" s="12"/>
      <c r="R179" s="12"/>
      <c r="S179" s="12"/>
      <c r="T179" s="12"/>
      <c r="U179" s="15"/>
      <c r="V179" s="15"/>
      <c r="W179" s="12"/>
      <c r="X179" s="12"/>
      <c r="Y179" s="12"/>
      <c r="Z179" s="12"/>
      <c r="AA179" s="12"/>
      <c r="AB179" s="12"/>
      <c r="AC179" s="12"/>
      <c r="AD179" s="12">
        <f t="shared" si="33"/>
        <v>399835.18</v>
      </c>
      <c r="AE179" s="13">
        <f t="shared" si="34"/>
        <v>0</v>
      </c>
      <c r="AF179" s="14">
        <f t="shared" si="35"/>
        <v>0</v>
      </c>
      <c r="AG179" s="13">
        <f t="shared" si="36"/>
        <v>22632.18</v>
      </c>
      <c r="AH179" s="13">
        <f t="shared" si="37"/>
        <v>1584.25</v>
      </c>
      <c r="AI179" s="13">
        <f t="shared" si="38"/>
        <v>678.97</v>
      </c>
      <c r="AJ179" s="13">
        <f t="shared" si="39"/>
        <v>452.64</v>
      </c>
      <c r="AK179" s="13">
        <f t="shared" si="40"/>
        <v>0</v>
      </c>
      <c r="AL179" s="13">
        <f t="shared" si="41"/>
        <v>0</v>
      </c>
      <c r="AM179" s="13">
        <f t="shared" si="42"/>
        <v>22632.18</v>
      </c>
      <c r="AN179" s="13">
        <f t="shared" si="43"/>
        <v>1584.25</v>
      </c>
      <c r="AO179" s="13">
        <f t="shared" si="44"/>
        <v>678.97</v>
      </c>
      <c r="AP179" s="13">
        <f t="shared" si="45"/>
        <v>452.64</v>
      </c>
      <c r="AQ179" s="13" t="str">
        <f t="shared" si="46"/>
        <v>TJ202512151015000598141</v>
      </c>
      <c r="AR179" s="13">
        <f t="shared" si="47"/>
        <v>0.06</v>
      </c>
    </row>
    <row r="180" spans="1:44">
      <c r="A180" s="12" t="s">
        <v>339</v>
      </c>
      <c r="B180" s="12" t="s">
        <v>340</v>
      </c>
      <c r="C180" s="12" t="s">
        <v>120</v>
      </c>
      <c r="D180" s="12" t="s">
        <v>121</v>
      </c>
      <c r="E180" s="12" t="s">
        <v>48</v>
      </c>
      <c r="F180" s="5">
        <f>ROUND(SUMIF([1]开票!$A$2:$A$1750,[1]申请!AQ180,[1]开票!$C$2:$C$1750),2)</f>
        <v>96754.28</v>
      </c>
      <c r="G180" s="5">
        <f>ROUND(SUMIF([1]开票!$A$2:$A$1750,[1]申请!AQ180,[1]开票!$D$2:$D$1750),2)</f>
        <v>0</v>
      </c>
      <c r="H180" s="5">
        <f>ROUND(SUMIF([1]开票!$A$2:$A$1750,[1]申请!AQ180,[1]开票!$E$2:$E$1750),2)</f>
        <v>4837.72</v>
      </c>
      <c r="I180" s="5">
        <f t="shared" si="32"/>
        <v>101592</v>
      </c>
      <c r="J180" s="12"/>
      <c r="K180" s="12">
        <v>96754.28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>
        <v>4837.72</v>
      </c>
      <c r="Z180" s="12"/>
      <c r="AA180" s="12"/>
      <c r="AB180" s="12"/>
      <c r="AC180" s="12"/>
      <c r="AD180" s="12">
        <f t="shared" si="33"/>
        <v>101592</v>
      </c>
      <c r="AE180" s="13">
        <f t="shared" si="34"/>
        <v>0</v>
      </c>
      <c r="AF180" s="14">
        <f t="shared" si="35"/>
        <v>0</v>
      </c>
      <c r="AG180" s="13">
        <f t="shared" si="36"/>
        <v>4837.72</v>
      </c>
      <c r="AH180" s="13">
        <f t="shared" si="37"/>
        <v>338.64</v>
      </c>
      <c r="AI180" s="13">
        <f t="shared" si="38"/>
        <v>145.13</v>
      </c>
      <c r="AJ180" s="13">
        <f t="shared" si="39"/>
        <v>96.75</v>
      </c>
      <c r="AK180" s="13">
        <f t="shared" si="40"/>
        <v>4319.39285714286</v>
      </c>
      <c r="AL180" s="13">
        <f t="shared" si="41"/>
        <v>518.33</v>
      </c>
      <c r="AM180" s="13">
        <f t="shared" si="42"/>
        <v>518.33</v>
      </c>
      <c r="AN180" s="13">
        <f t="shared" si="43"/>
        <v>36.28</v>
      </c>
      <c r="AO180" s="13">
        <f t="shared" si="44"/>
        <v>15.55</v>
      </c>
      <c r="AP180" s="13">
        <f t="shared" si="45"/>
        <v>10.36</v>
      </c>
      <c r="AQ180" s="13" t="str">
        <f t="shared" si="46"/>
        <v>TJ202512151102000063377</v>
      </c>
      <c r="AR180" s="13">
        <f t="shared" si="47"/>
        <v>0.05</v>
      </c>
    </row>
    <row r="181" spans="1:44">
      <c r="A181" s="12" t="s">
        <v>341</v>
      </c>
      <c r="B181" s="12" t="s">
        <v>326</v>
      </c>
      <c r="C181" s="12" t="s">
        <v>120</v>
      </c>
      <c r="D181" s="12" t="s">
        <v>121</v>
      </c>
      <c r="E181" s="12" t="s">
        <v>51</v>
      </c>
      <c r="F181" s="5">
        <f>ROUND(SUMIF([1]开票!$A$2:$A$1750,[1]申请!AQ181,[1]开票!$C$2:$C$1750),2)</f>
        <v>107154.01</v>
      </c>
      <c r="G181" s="5">
        <f>ROUND(SUMIF([1]开票!$A$2:$A$1750,[1]申请!AQ181,[1]开票!$D$2:$D$1750),2)</f>
        <v>0</v>
      </c>
      <c r="H181" s="5">
        <f>ROUND(SUMIF([1]开票!$A$2:$A$1750,[1]申请!AQ181,[1]开票!$E$2:$E$1750),2)</f>
        <v>6429.24</v>
      </c>
      <c r="I181" s="5">
        <f t="shared" si="32"/>
        <v>113583.25</v>
      </c>
      <c r="J181" s="12"/>
      <c r="K181" s="12"/>
      <c r="L181" s="12">
        <v>113583.25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>
        <f t="shared" si="33"/>
        <v>113583.25</v>
      </c>
      <c r="AE181" s="13">
        <f t="shared" si="34"/>
        <v>0</v>
      </c>
      <c r="AF181" s="14">
        <f t="shared" si="35"/>
        <v>0</v>
      </c>
      <c r="AG181" s="13">
        <f t="shared" si="36"/>
        <v>6429.24</v>
      </c>
      <c r="AH181" s="13">
        <f t="shared" si="37"/>
        <v>450.05</v>
      </c>
      <c r="AI181" s="13">
        <f t="shared" si="38"/>
        <v>192.88</v>
      </c>
      <c r="AJ181" s="13">
        <f t="shared" si="39"/>
        <v>128.58</v>
      </c>
      <c r="AK181" s="13">
        <f t="shared" si="40"/>
        <v>0</v>
      </c>
      <c r="AL181" s="13">
        <f t="shared" si="41"/>
        <v>0</v>
      </c>
      <c r="AM181" s="13">
        <f t="shared" si="42"/>
        <v>6429.24</v>
      </c>
      <c r="AN181" s="13">
        <f t="shared" si="43"/>
        <v>450.05</v>
      </c>
      <c r="AO181" s="13">
        <f t="shared" si="44"/>
        <v>192.88</v>
      </c>
      <c r="AP181" s="13">
        <f t="shared" si="45"/>
        <v>128.58</v>
      </c>
      <c r="AQ181" s="13" t="str">
        <f t="shared" si="46"/>
        <v>TJ202512151128000055578</v>
      </c>
      <c r="AR181" s="13">
        <f t="shared" si="47"/>
        <v>0.06</v>
      </c>
    </row>
    <row r="182" spans="1:44">
      <c r="A182" s="12" t="s">
        <v>342</v>
      </c>
      <c r="B182" s="12" t="s">
        <v>117</v>
      </c>
      <c r="C182" s="12" t="s">
        <v>54</v>
      </c>
      <c r="D182" s="12" t="s">
        <v>55</v>
      </c>
      <c r="E182" s="12" t="s">
        <v>51</v>
      </c>
      <c r="F182" s="5">
        <f>ROUND(SUMIF([1]开票!$A$2:$A$1750,[1]申请!AQ182,[1]开票!$C$2:$C$1750),2)</f>
        <v>126717.43</v>
      </c>
      <c r="G182" s="5">
        <f>ROUND(SUMIF([1]开票!$A$2:$A$1750,[1]申请!AQ182,[1]开票!$D$2:$D$1750),2)</f>
        <v>0</v>
      </c>
      <c r="H182" s="5">
        <f>ROUND(SUMIF([1]开票!$A$2:$A$1750,[1]申请!AQ182,[1]开票!$E$2:$E$1750),2)</f>
        <v>7603.05</v>
      </c>
      <c r="I182" s="5">
        <f t="shared" si="32"/>
        <v>134320.48</v>
      </c>
      <c r="J182" s="12"/>
      <c r="K182" s="12"/>
      <c r="L182" s="12">
        <v>134320.48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>
        <f t="shared" si="33"/>
        <v>134320.48</v>
      </c>
      <c r="AE182" s="13">
        <f t="shared" si="34"/>
        <v>0</v>
      </c>
      <c r="AF182" s="14">
        <f t="shared" si="35"/>
        <v>0</v>
      </c>
      <c r="AG182" s="13">
        <f t="shared" si="36"/>
        <v>7603.05</v>
      </c>
      <c r="AH182" s="13">
        <f t="shared" si="37"/>
        <v>532.21</v>
      </c>
      <c r="AI182" s="13">
        <f t="shared" si="38"/>
        <v>228.09</v>
      </c>
      <c r="AJ182" s="13">
        <f t="shared" si="39"/>
        <v>152.06</v>
      </c>
      <c r="AK182" s="13">
        <f t="shared" si="40"/>
        <v>0</v>
      </c>
      <c r="AL182" s="13">
        <f t="shared" si="41"/>
        <v>0</v>
      </c>
      <c r="AM182" s="13">
        <f t="shared" si="42"/>
        <v>7603.05</v>
      </c>
      <c r="AN182" s="13">
        <f t="shared" si="43"/>
        <v>532.21</v>
      </c>
      <c r="AO182" s="13">
        <f t="shared" si="44"/>
        <v>228.09</v>
      </c>
      <c r="AP182" s="13">
        <f t="shared" si="45"/>
        <v>152.06</v>
      </c>
      <c r="AQ182" s="13" t="str">
        <f t="shared" si="46"/>
        <v>TJ202512151217000097985</v>
      </c>
      <c r="AR182" s="13">
        <f t="shared" si="47"/>
        <v>0.06</v>
      </c>
    </row>
    <row r="183" spans="1:44">
      <c r="A183" s="12" t="s">
        <v>343</v>
      </c>
      <c r="B183" s="12" t="s">
        <v>344</v>
      </c>
      <c r="C183" s="12" t="s">
        <v>46</v>
      </c>
      <c r="D183" s="12" t="s">
        <v>47</v>
      </c>
      <c r="E183" s="12" t="s">
        <v>77</v>
      </c>
      <c r="F183" s="5">
        <f>ROUND(SUMIF([1]开票!$A$2:$A$1750,[1]申请!AQ183,[1]开票!$C$2:$C$1750),2)</f>
        <v>380.95</v>
      </c>
      <c r="G183" s="5">
        <f>ROUND(SUMIF([1]开票!$A$2:$A$1750,[1]申请!AQ183,[1]开票!$D$2:$D$1750),2)</f>
        <v>24329.9</v>
      </c>
      <c r="H183" s="5">
        <f>ROUND(SUMIF([1]开票!$A$2:$A$1750,[1]申请!AQ183,[1]开票!$E$2:$E$1750),2)</f>
        <v>19.05</v>
      </c>
      <c r="I183" s="5">
        <f t="shared" si="32"/>
        <v>24729.9</v>
      </c>
      <c r="J183" s="12">
        <v>400</v>
      </c>
      <c r="K183" s="12"/>
      <c r="L183" s="12"/>
      <c r="M183" s="12"/>
      <c r="N183" s="12"/>
      <c r="O183" s="12"/>
      <c r="P183" s="12"/>
      <c r="Q183" s="12"/>
      <c r="R183" s="12"/>
      <c r="S183" s="12">
        <v>13430.68</v>
      </c>
      <c r="T183" s="12">
        <v>0</v>
      </c>
      <c r="U183" s="12">
        <v>7044.9</v>
      </c>
      <c r="V183" s="12">
        <v>3600</v>
      </c>
      <c r="W183" s="12"/>
      <c r="X183" s="12">
        <v>254.32</v>
      </c>
      <c r="Y183" s="12"/>
      <c r="Z183" s="12"/>
      <c r="AA183" s="12"/>
      <c r="AB183" s="12"/>
      <c r="AC183" s="12"/>
      <c r="AD183" s="12">
        <f t="shared" si="33"/>
        <v>24729.9</v>
      </c>
      <c r="AE183" s="13">
        <f t="shared" si="34"/>
        <v>0</v>
      </c>
      <c r="AF183" s="14">
        <f t="shared" si="35"/>
        <v>0</v>
      </c>
      <c r="AG183" s="13">
        <f t="shared" si="36"/>
        <v>19.05</v>
      </c>
      <c r="AH183" s="13">
        <f t="shared" si="37"/>
        <v>1.33</v>
      </c>
      <c r="AI183" s="13">
        <f t="shared" si="38"/>
        <v>0.57</v>
      </c>
      <c r="AJ183" s="13">
        <f t="shared" si="39"/>
        <v>0.38</v>
      </c>
      <c r="AK183" s="13">
        <f t="shared" si="40"/>
        <v>0</v>
      </c>
      <c r="AL183" s="13">
        <f t="shared" si="41"/>
        <v>0</v>
      </c>
      <c r="AM183" s="13">
        <f t="shared" si="42"/>
        <v>19.05</v>
      </c>
      <c r="AN183" s="13">
        <f t="shared" si="43"/>
        <v>1.33</v>
      </c>
      <c r="AO183" s="13">
        <f t="shared" si="44"/>
        <v>0.57</v>
      </c>
      <c r="AP183" s="13">
        <f t="shared" si="45"/>
        <v>0.38</v>
      </c>
      <c r="AQ183" s="13" t="str">
        <f t="shared" si="46"/>
        <v>TJ202512151341000289784</v>
      </c>
      <c r="AR183" s="13">
        <f t="shared" si="47"/>
        <v>0.05</v>
      </c>
    </row>
    <row r="184" spans="1:44">
      <c r="A184" s="12" t="s">
        <v>345</v>
      </c>
      <c r="B184" s="12" t="s">
        <v>57</v>
      </c>
      <c r="C184" s="12" t="s">
        <v>54</v>
      </c>
      <c r="D184" s="12" t="s">
        <v>55</v>
      </c>
      <c r="E184" s="12" t="s">
        <v>51</v>
      </c>
      <c r="F184" s="5">
        <f>ROUND(SUMIF([1]开票!$A$2:$A$1750,[1]申请!AQ184,[1]开票!$C$2:$C$1750),2)</f>
        <v>4878.72</v>
      </c>
      <c r="G184" s="5">
        <f>ROUND(SUMIF([1]开票!$A$2:$A$1750,[1]申请!AQ184,[1]开票!$D$2:$D$1750),2)</f>
        <v>0</v>
      </c>
      <c r="H184" s="5">
        <f>ROUND(SUMIF([1]开票!$A$2:$A$1750,[1]申请!AQ184,[1]开票!$E$2:$E$1750),2)</f>
        <v>292.72</v>
      </c>
      <c r="I184" s="5">
        <f t="shared" si="32"/>
        <v>5171.44</v>
      </c>
      <c r="J184" s="12">
        <v>5171.44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>
        <f t="shared" si="33"/>
        <v>5171.44</v>
      </c>
      <c r="AE184" s="13">
        <f t="shared" si="34"/>
        <v>0</v>
      </c>
      <c r="AF184" s="14">
        <f t="shared" si="35"/>
        <v>0</v>
      </c>
      <c r="AG184" s="13">
        <f t="shared" si="36"/>
        <v>292.72</v>
      </c>
      <c r="AH184" s="13">
        <f t="shared" si="37"/>
        <v>20.49</v>
      </c>
      <c r="AI184" s="13">
        <f t="shared" si="38"/>
        <v>8.78</v>
      </c>
      <c r="AJ184" s="13">
        <f t="shared" si="39"/>
        <v>5.85</v>
      </c>
      <c r="AK184" s="13">
        <f t="shared" si="40"/>
        <v>0</v>
      </c>
      <c r="AL184" s="13">
        <f t="shared" si="41"/>
        <v>0</v>
      </c>
      <c r="AM184" s="13">
        <f t="shared" si="42"/>
        <v>292.72</v>
      </c>
      <c r="AN184" s="13">
        <f t="shared" si="43"/>
        <v>20.49</v>
      </c>
      <c r="AO184" s="13">
        <f t="shared" si="44"/>
        <v>8.78</v>
      </c>
      <c r="AP184" s="13">
        <f t="shared" si="45"/>
        <v>5.85</v>
      </c>
      <c r="AQ184" s="13" t="str">
        <f t="shared" si="46"/>
        <v>TJ202512151350000059238</v>
      </c>
      <c r="AR184" s="13">
        <f t="shared" si="47"/>
        <v>0.06</v>
      </c>
    </row>
    <row r="185" spans="1:44">
      <c r="A185" s="12" t="s">
        <v>346</v>
      </c>
      <c r="B185" s="12" t="s">
        <v>57</v>
      </c>
      <c r="C185" s="12" t="s">
        <v>54</v>
      </c>
      <c r="D185" s="12" t="s">
        <v>55</v>
      </c>
      <c r="E185" s="12" t="s">
        <v>51</v>
      </c>
      <c r="F185" s="5">
        <f>ROUND(SUMIF([1]开票!$A$2:$A$1750,[1]申请!AQ185,[1]开票!$C$2:$C$1750),2)</f>
        <v>12734.92</v>
      </c>
      <c r="G185" s="5">
        <f>ROUND(SUMIF([1]开票!$A$2:$A$1750,[1]申请!AQ185,[1]开票!$D$2:$D$1750),2)</f>
        <v>0</v>
      </c>
      <c r="H185" s="5">
        <f>ROUND(SUMIF([1]开票!$A$2:$A$1750,[1]申请!AQ185,[1]开票!$E$2:$E$1750),2)</f>
        <v>764.09</v>
      </c>
      <c r="I185" s="5">
        <f t="shared" si="32"/>
        <v>13499.01</v>
      </c>
      <c r="J185" s="12">
        <v>13499.01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>
        <f t="shared" si="33"/>
        <v>13499.01</v>
      </c>
      <c r="AE185" s="13">
        <f t="shared" si="34"/>
        <v>0</v>
      </c>
      <c r="AF185" s="14">
        <f t="shared" si="35"/>
        <v>0</v>
      </c>
      <c r="AG185" s="13">
        <f t="shared" si="36"/>
        <v>764.09</v>
      </c>
      <c r="AH185" s="13">
        <f t="shared" si="37"/>
        <v>53.49</v>
      </c>
      <c r="AI185" s="13">
        <f t="shared" si="38"/>
        <v>22.92</v>
      </c>
      <c r="AJ185" s="13">
        <f t="shared" si="39"/>
        <v>15.28</v>
      </c>
      <c r="AK185" s="13">
        <f t="shared" si="40"/>
        <v>0</v>
      </c>
      <c r="AL185" s="13">
        <f t="shared" si="41"/>
        <v>0</v>
      </c>
      <c r="AM185" s="13">
        <f t="shared" si="42"/>
        <v>764.09</v>
      </c>
      <c r="AN185" s="13">
        <f t="shared" si="43"/>
        <v>53.49</v>
      </c>
      <c r="AO185" s="13">
        <f t="shared" si="44"/>
        <v>22.92</v>
      </c>
      <c r="AP185" s="13">
        <f t="shared" si="45"/>
        <v>15.28</v>
      </c>
      <c r="AQ185" s="13" t="str">
        <f t="shared" si="46"/>
        <v>TJ202512151351000270330</v>
      </c>
      <c r="AR185" s="13">
        <f t="shared" si="47"/>
        <v>0.06</v>
      </c>
    </row>
    <row r="186" spans="1:44">
      <c r="A186" s="12" t="s">
        <v>347</v>
      </c>
      <c r="B186" s="12" t="s">
        <v>108</v>
      </c>
      <c r="C186" s="12" t="s">
        <v>54</v>
      </c>
      <c r="D186" s="12" t="s">
        <v>60</v>
      </c>
      <c r="E186" s="12" t="s">
        <v>51</v>
      </c>
      <c r="F186" s="5">
        <f>ROUND(SUMIF([1]开票!$A$2:$A$1750,[1]申请!AQ186,[1]开票!$C$2:$C$1750),2)</f>
        <v>1938867.92</v>
      </c>
      <c r="G186" s="5">
        <f>ROUND(SUMIF([1]开票!$A$2:$A$1750,[1]申请!AQ186,[1]开票!$D$2:$D$1750),2)</f>
        <v>0</v>
      </c>
      <c r="H186" s="5">
        <f>ROUND(SUMIF([1]开票!$A$2:$A$1750,[1]申请!AQ186,[1]开票!$E$2:$E$1750),2)</f>
        <v>116332.08</v>
      </c>
      <c r="I186" s="5">
        <f t="shared" si="32"/>
        <v>2055200</v>
      </c>
      <c r="J186" s="12"/>
      <c r="K186" s="12"/>
      <c r="L186" s="12">
        <v>116329.92</v>
      </c>
      <c r="M186" s="12"/>
      <c r="N186" s="12"/>
      <c r="O186" s="12"/>
      <c r="P186" s="12"/>
      <c r="Q186" s="12"/>
      <c r="R186" s="12"/>
      <c r="S186" s="12">
        <v>1938870.08</v>
      </c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>
        <f t="shared" si="33"/>
        <v>2055200</v>
      </c>
      <c r="AE186" s="13">
        <f t="shared" si="34"/>
        <v>0</v>
      </c>
      <c r="AF186" s="14">
        <f t="shared" si="35"/>
        <v>0</v>
      </c>
      <c r="AG186" s="13">
        <f t="shared" si="36"/>
        <v>116332.08</v>
      </c>
      <c r="AH186" s="13">
        <f t="shared" si="37"/>
        <v>8143.25</v>
      </c>
      <c r="AI186" s="13">
        <f t="shared" si="38"/>
        <v>3489.96</v>
      </c>
      <c r="AJ186" s="13">
        <f t="shared" si="39"/>
        <v>2326.64</v>
      </c>
      <c r="AK186" s="13">
        <f t="shared" si="40"/>
        <v>0</v>
      </c>
      <c r="AL186" s="13">
        <f t="shared" si="41"/>
        <v>0</v>
      </c>
      <c r="AM186" s="13">
        <f t="shared" si="42"/>
        <v>116332.08</v>
      </c>
      <c r="AN186" s="13">
        <f t="shared" si="43"/>
        <v>8143.25</v>
      </c>
      <c r="AO186" s="13">
        <f t="shared" si="44"/>
        <v>3489.96</v>
      </c>
      <c r="AP186" s="13">
        <f t="shared" si="45"/>
        <v>2326.64</v>
      </c>
      <c r="AQ186" s="13" t="str">
        <f t="shared" si="46"/>
        <v>TJ202512151359000401682</v>
      </c>
      <c r="AR186" s="13">
        <f t="shared" si="47"/>
        <v>0.06</v>
      </c>
    </row>
    <row r="187" spans="1:44">
      <c r="A187" s="12" t="s">
        <v>348</v>
      </c>
      <c r="B187" s="12" t="s">
        <v>102</v>
      </c>
      <c r="C187" s="12" t="s">
        <v>54</v>
      </c>
      <c r="D187" s="12" t="s">
        <v>55</v>
      </c>
      <c r="E187" s="12" t="s">
        <v>51</v>
      </c>
      <c r="F187" s="5">
        <f>ROUND(SUMIF([1]开票!$A$2:$A$1750,[1]申请!AQ187,[1]开票!$C$2:$C$1750),2)</f>
        <v>23808</v>
      </c>
      <c r="G187" s="5">
        <f>ROUND(SUMIF([1]开票!$A$2:$A$1750,[1]申请!AQ187,[1]开票!$D$2:$D$1750),2)</f>
        <v>0</v>
      </c>
      <c r="H187" s="5">
        <f>ROUND(SUMIF([1]开票!$A$2:$A$1750,[1]申请!AQ187,[1]开票!$E$2:$E$1750),2)</f>
        <v>1428.48</v>
      </c>
      <c r="I187" s="5">
        <f t="shared" si="32"/>
        <v>25236.48</v>
      </c>
      <c r="J187" s="12"/>
      <c r="K187" s="12"/>
      <c r="L187" s="12">
        <v>25236.48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>
        <f t="shared" si="33"/>
        <v>25236.48</v>
      </c>
      <c r="AE187" s="13">
        <f t="shared" si="34"/>
        <v>0</v>
      </c>
      <c r="AF187" s="14">
        <f t="shared" si="35"/>
        <v>0</v>
      </c>
      <c r="AG187" s="13">
        <f t="shared" si="36"/>
        <v>1428.48</v>
      </c>
      <c r="AH187" s="13">
        <f t="shared" si="37"/>
        <v>99.99</v>
      </c>
      <c r="AI187" s="13">
        <f t="shared" si="38"/>
        <v>42.85</v>
      </c>
      <c r="AJ187" s="13">
        <f t="shared" si="39"/>
        <v>28.57</v>
      </c>
      <c r="AK187" s="13">
        <f t="shared" si="40"/>
        <v>0</v>
      </c>
      <c r="AL187" s="13">
        <f t="shared" si="41"/>
        <v>0</v>
      </c>
      <c r="AM187" s="13">
        <f t="shared" si="42"/>
        <v>1428.48</v>
      </c>
      <c r="AN187" s="13">
        <f t="shared" si="43"/>
        <v>99.99</v>
      </c>
      <c r="AO187" s="13">
        <f t="shared" si="44"/>
        <v>42.85</v>
      </c>
      <c r="AP187" s="13">
        <f t="shared" si="45"/>
        <v>28.57</v>
      </c>
      <c r="AQ187" s="13" t="str">
        <f t="shared" si="46"/>
        <v>TJ202512151405000021056</v>
      </c>
      <c r="AR187" s="13">
        <f t="shared" si="47"/>
        <v>0.06</v>
      </c>
    </row>
    <row r="188" spans="1:44">
      <c r="A188" s="12" t="s">
        <v>349</v>
      </c>
      <c r="B188" s="12" t="s">
        <v>350</v>
      </c>
      <c r="C188" s="12" t="s">
        <v>46</v>
      </c>
      <c r="D188" s="12" t="s">
        <v>47</v>
      </c>
      <c r="E188" s="12" t="s">
        <v>77</v>
      </c>
      <c r="F188" s="5">
        <f>ROUND(SUMIF([1]开票!$A$2:$A$1750,[1]申请!AQ188,[1]开票!$C$2:$C$1750),2)</f>
        <v>57.14</v>
      </c>
      <c r="G188" s="5">
        <f>ROUND(SUMIF([1]开票!$A$2:$A$1750,[1]申请!AQ188,[1]开票!$D$2:$D$1750),2)</f>
        <v>4458.96</v>
      </c>
      <c r="H188" s="5">
        <f>ROUND(SUMIF([1]开票!$A$2:$A$1750,[1]申请!AQ188,[1]开票!$E$2:$E$1750),2)</f>
        <v>2.86</v>
      </c>
      <c r="I188" s="5">
        <f t="shared" si="32"/>
        <v>4518.96</v>
      </c>
      <c r="J188" s="12">
        <v>60</v>
      </c>
      <c r="K188" s="12"/>
      <c r="L188" s="12"/>
      <c r="M188" s="12"/>
      <c r="N188" s="12"/>
      <c r="O188" s="12"/>
      <c r="P188" s="12"/>
      <c r="Q188" s="12"/>
      <c r="R188" s="12"/>
      <c r="S188" s="12">
        <v>3029.29</v>
      </c>
      <c r="T188" s="12"/>
      <c r="U188" s="12">
        <v>1349.62</v>
      </c>
      <c r="V188" s="12"/>
      <c r="W188" s="12">
        <v>55</v>
      </c>
      <c r="X188" s="12">
        <v>25.05</v>
      </c>
      <c r="Y188" s="12"/>
      <c r="Z188" s="12"/>
      <c r="AA188" s="12"/>
      <c r="AB188" s="12"/>
      <c r="AC188" s="12"/>
      <c r="AD188" s="12">
        <f t="shared" si="33"/>
        <v>4518.96</v>
      </c>
      <c r="AE188" s="13">
        <f t="shared" si="34"/>
        <v>0</v>
      </c>
      <c r="AF188" s="14">
        <f t="shared" si="35"/>
        <v>0</v>
      </c>
      <c r="AG188" s="13">
        <f t="shared" si="36"/>
        <v>2.86</v>
      </c>
      <c r="AH188" s="13">
        <f t="shared" si="37"/>
        <v>0.2</v>
      </c>
      <c r="AI188" s="13">
        <f t="shared" si="38"/>
        <v>0.09</v>
      </c>
      <c r="AJ188" s="13">
        <f t="shared" si="39"/>
        <v>0.06</v>
      </c>
      <c r="AK188" s="13">
        <f t="shared" si="40"/>
        <v>0</v>
      </c>
      <c r="AL188" s="13">
        <f t="shared" si="41"/>
        <v>0</v>
      </c>
      <c r="AM188" s="13">
        <f t="shared" si="42"/>
        <v>2.86</v>
      </c>
      <c r="AN188" s="13">
        <f t="shared" si="43"/>
        <v>0.2</v>
      </c>
      <c r="AO188" s="13">
        <f t="shared" si="44"/>
        <v>0.09</v>
      </c>
      <c r="AP188" s="13">
        <f t="shared" si="45"/>
        <v>0.06</v>
      </c>
      <c r="AQ188" s="13" t="str">
        <f t="shared" si="46"/>
        <v>TJ202512151414000420421</v>
      </c>
      <c r="AR188" s="13">
        <f t="shared" si="47"/>
        <v>0.05</v>
      </c>
    </row>
    <row r="189" spans="1:44">
      <c r="A189" s="19" t="s">
        <v>351</v>
      </c>
      <c r="B189" s="12" t="s">
        <v>352</v>
      </c>
      <c r="C189" s="12" t="s">
        <v>46</v>
      </c>
      <c r="D189" s="12" t="s">
        <v>47</v>
      </c>
      <c r="E189" s="12" t="s">
        <v>48</v>
      </c>
      <c r="F189" s="5">
        <f>ROUND(SUMIF([1]开票!$A$2:$A$1750,[1]申请!AQ189,[1]开票!$C$2:$C$1750),2)</f>
        <v>171.43</v>
      </c>
      <c r="G189" s="5">
        <f>ROUND(SUMIF([1]开票!$A$2:$A$1750,[1]申请!AQ189,[1]开票!$D$2:$D$1750),2)</f>
        <v>14041.38</v>
      </c>
      <c r="H189" s="5">
        <f>ROUND(SUMIF([1]开票!$A$2:$A$1750,[1]申请!AQ189,[1]开票!$E$2:$E$1750),2)</f>
        <v>8.57</v>
      </c>
      <c r="I189" s="5">
        <f t="shared" si="32"/>
        <v>14221.38</v>
      </c>
      <c r="J189" s="12">
        <v>180</v>
      </c>
      <c r="K189" s="12"/>
      <c r="L189" s="15"/>
      <c r="M189" s="12"/>
      <c r="N189" s="12"/>
      <c r="O189" s="12"/>
      <c r="P189" s="12"/>
      <c r="Q189" s="12"/>
      <c r="R189" s="12"/>
      <c r="S189" s="15">
        <v>9752.37</v>
      </c>
      <c r="T189" s="15"/>
      <c r="U189" s="12">
        <v>4048.86</v>
      </c>
      <c r="V189" s="12"/>
      <c r="W189" s="12">
        <v>165</v>
      </c>
      <c r="X189" s="12">
        <v>75.15</v>
      </c>
      <c r="Y189" s="15"/>
      <c r="Z189" s="12"/>
      <c r="AA189" s="12"/>
      <c r="AB189" s="12"/>
      <c r="AC189" s="12"/>
      <c r="AD189" s="12">
        <f t="shared" si="33"/>
        <v>14221.38</v>
      </c>
      <c r="AE189" s="13">
        <f t="shared" si="34"/>
        <v>0</v>
      </c>
      <c r="AF189" s="14">
        <f t="shared" si="35"/>
        <v>0</v>
      </c>
      <c r="AG189" s="13">
        <f t="shared" si="36"/>
        <v>8.57</v>
      </c>
      <c r="AH189" s="13">
        <f t="shared" si="37"/>
        <v>0.6</v>
      </c>
      <c r="AI189" s="13">
        <f t="shared" si="38"/>
        <v>0.26</v>
      </c>
      <c r="AJ189" s="13">
        <f t="shared" si="39"/>
        <v>0.17</v>
      </c>
      <c r="AK189" s="13">
        <f t="shared" si="40"/>
        <v>0</v>
      </c>
      <c r="AL189" s="13">
        <f t="shared" si="41"/>
        <v>0</v>
      </c>
      <c r="AM189" s="13">
        <f t="shared" si="42"/>
        <v>8.57</v>
      </c>
      <c r="AN189" s="13">
        <f t="shared" si="43"/>
        <v>0.6</v>
      </c>
      <c r="AO189" s="13">
        <f t="shared" si="44"/>
        <v>0.26</v>
      </c>
      <c r="AP189" s="13">
        <f t="shared" si="45"/>
        <v>0.17</v>
      </c>
      <c r="AQ189" s="13" t="str">
        <f t="shared" si="46"/>
        <v>TJ202512151433000561023</v>
      </c>
      <c r="AR189" s="13">
        <f t="shared" si="47"/>
        <v>0.05</v>
      </c>
    </row>
    <row r="190" spans="1:44">
      <c r="A190" s="12" t="s">
        <v>353</v>
      </c>
      <c r="B190" s="12" t="s">
        <v>354</v>
      </c>
      <c r="C190" s="12" t="s">
        <v>46</v>
      </c>
      <c r="D190" s="12" t="s">
        <v>47</v>
      </c>
      <c r="E190" s="12" t="s">
        <v>48</v>
      </c>
      <c r="F190" s="5">
        <f>ROUND(SUMIF([1]开票!$A$2:$A$1750,[1]申请!AQ190,[1]开票!$C$2:$C$1750),2)</f>
        <v>3428.57</v>
      </c>
      <c r="G190" s="5">
        <f>ROUND(SUMIF([1]开票!$A$2:$A$1750,[1]申请!AQ190,[1]开票!$D$2:$D$1750),2)</f>
        <v>540189.14</v>
      </c>
      <c r="H190" s="5">
        <f>ROUND(SUMIF([1]开票!$A$2:$A$1750,[1]申请!AQ190,[1]开票!$E$2:$E$1750),2)</f>
        <v>171.43</v>
      </c>
      <c r="I190" s="5">
        <f t="shared" si="32"/>
        <v>543789.14</v>
      </c>
      <c r="J190" s="12">
        <v>3600</v>
      </c>
      <c r="K190" s="12"/>
      <c r="L190" s="12"/>
      <c r="M190" s="12"/>
      <c r="N190" s="12"/>
      <c r="O190" s="12"/>
      <c r="P190" s="12"/>
      <c r="Q190" s="12"/>
      <c r="R190" s="12"/>
      <c r="S190" s="12">
        <v>303832.17</v>
      </c>
      <c r="T190" s="12">
        <v>22.42</v>
      </c>
      <c r="U190" s="12">
        <v>176499.76</v>
      </c>
      <c r="V190" s="12">
        <v>50898</v>
      </c>
      <c r="W190" s="12"/>
      <c r="X190" s="12">
        <v>2880</v>
      </c>
      <c r="Y190" s="12"/>
      <c r="Z190" s="12"/>
      <c r="AA190" s="12">
        <v>6056.79</v>
      </c>
      <c r="AB190" s="12"/>
      <c r="AC190" s="12"/>
      <c r="AD190" s="12">
        <f t="shared" si="33"/>
        <v>543789.14</v>
      </c>
      <c r="AE190" s="13">
        <f t="shared" si="34"/>
        <v>0</v>
      </c>
      <c r="AF190" s="14">
        <f t="shared" si="35"/>
        <v>0</v>
      </c>
      <c r="AG190" s="13">
        <f t="shared" si="36"/>
        <v>171.43</v>
      </c>
      <c r="AH190" s="13">
        <f t="shared" si="37"/>
        <v>12</v>
      </c>
      <c r="AI190" s="13">
        <f t="shared" si="38"/>
        <v>5.14</v>
      </c>
      <c r="AJ190" s="13">
        <f t="shared" si="39"/>
        <v>3.43</v>
      </c>
      <c r="AK190" s="13">
        <f t="shared" si="40"/>
        <v>0</v>
      </c>
      <c r="AL190" s="13">
        <f t="shared" si="41"/>
        <v>0</v>
      </c>
      <c r="AM190" s="13">
        <f t="shared" si="42"/>
        <v>171.43</v>
      </c>
      <c r="AN190" s="13">
        <f t="shared" si="43"/>
        <v>12</v>
      </c>
      <c r="AO190" s="13">
        <f t="shared" si="44"/>
        <v>5.14</v>
      </c>
      <c r="AP190" s="13">
        <f t="shared" si="45"/>
        <v>3.43</v>
      </c>
      <c r="AQ190" s="13" t="str">
        <f t="shared" si="46"/>
        <v>TJ202512151521000103263</v>
      </c>
      <c r="AR190" s="13">
        <f t="shared" si="47"/>
        <v>0.05</v>
      </c>
    </row>
    <row r="191" spans="1:44">
      <c r="A191" s="12" t="s">
        <v>355</v>
      </c>
      <c r="B191" s="12" t="s">
        <v>354</v>
      </c>
      <c r="C191" s="12" t="s">
        <v>46</v>
      </c>
      <c r="D191" s="12" t="s">
        <v>47</v>
      </c>
      <c r="E191" s="12" t="s">
        <v>51</v>
      </c>
      <c r="F191" s="5">
        <f>ROUND(SUMIF([1]开票!$A$2:$A$1750,[1]申请!AQ191,[1]开票!$C$2:$C$1750),2)</f>
        <v>90.57</v>
      </c>
      <c r="G191" s="5">
        <f>ROUND(SUMIF([1]开票!$A$2:$A$1750,[1]申请!AQ191,[1]开票!$D$2:$D$1750),2)</f>
        <v>0</v>
      </c>
      <c r="H191" s="5">
        <f>ROUND(SUMIF([1]开票!$A$2:$A$1750,[1]申请!AQ191,[1]开票!$E$2:$E$1750),2)</f>
        <v>5.43</v>
      </c>
      <c r="I191" s="5">
        <f t="shared" si="32"/>
        <v>96</v>
      </c>
      <c r="J191" s="12"/>
      <c r="K191" s="12"/>
      <c r="L191" s="12"/>
      <c r="M191" s="23"/>
      <c r="N191" s="15"/>
      <c r="O191" s="12"/>
      <c r="P191" s="12"/>
      <c r="Q191" s="12"/>
      <c r="R191" s="12"/>
      <c r="S191" s="12"/>
      <c r="T191" s="12"/>
      <c r="U191" s="12"/>
      <c r="V191" s="12"/>
      <c r="W191" s="12">
        <v>96</v>
      </c>
      <c r="X191" s="12"/>
      <c r="Y191" s="12"/>
      <c r="Z191" s="12"/>
      <c r="AA191" s="12"/>
      <c r="AB191" s="12"/>
      <c r="AC191" s="12"/>
      <c r="AD191" s="12">
        <f t="shared" si="33"/>
        <v>96</v>
      </c>
      <c r="AE191" s="13">
        <f t="shared" si="34"/>
        <v>0</v>
      </c>
      <c r="AF191" s="14">
        <f t="shared" si="35"/>
        <v>0</v>
      </c>
      <c r="AG191" s="13">
        <f t="shared" si="36"/>
        <v>5.43</v>
      </c>
      <c r="AH191" s="13">
        <f t="shared" si="37"/>
        <v>0.38</v>
      </c>
      <c r="AI191" s="13">
        <f t="shared" si="38"/>
        <v>0.16</v>
      </c>
      <c r="AJ191" s="13">
        <f t="shared" si="39"/>
        <v>0.11</v>
      </c>
      <c r="AK191" s="13">
        <f t="shared" si="40"/>
        <v>0</v>
      </c>
      <c r="AL191" s="13">
        <f t="shared" si="41"/>
        <v>0</v>
      </c>
      <c r="AM191" s="13">
        <f t="shared" si="42"/>
        <v>5.43</v>
      </c>
      <c r="AN191" s="13">
        <f t="shared" si="43"/>
        <v>0.38</v>
      </c>
      <c r="AO191" s="13">
        <f t="shared" si="44"/>
        <v>0.16</v>
      </c>
      <c r="AP191" s="13">
        <f t="shared" si="45"/>
        <v>0.11</v>
      </c>
      <c r="AQ191" s="13" t="str">
        <f t="shared" si="46"/>
        <v>TJ202512151522000402482</v>
      </c>
      <c r="AR191" s="13">
        <f t="shared" si="47"/>
        <v>0.06</v>
      </c>
    </row>
    <row r="192" spans="1:44">
      <c r="A192" s="12" t="s">
        <v>356</v>
      </c>
      <c r="B192" s="12" t="s">
        <v>102</v>
      </c>
      <c r="C192" s="12" t="s">
        <v>54</v>
      </c>
      <c r="D192" s="12" t="s">
        <v>55</v>
      </c>
      <c r="E192" s="12" t="s">
        <v>51</v>
      </c>
      <c r="F192" s="5">
        <f>ROUND(SUMIF([1]开票!$A$2:$A$1750,[1]申请!AQ192,[1]开票!$C$2:$C$1750),2)</f>
        <v>25024.89</v>
      </c>
      <c r="G192" s="5">
        <f>ROUND(SUMIF([1]开票!$A$2:$A$1750,[1]申请!AQ192,[1]开票!$D$2:$D$1750),2)</f>
        <v>0</v>
      </c>
      <c r="H192" s="5">
        <f>ROUND(SUMIF([1]开票!$A$2:$A$1750,[1]申请!AQ192,[1]开票!$E$2:$E$1750),2)</f>
        <v>1501.49</v>
      </c>
      <c r="I192" s="5">
        <f t="shared" si="32"/>
        <v>26526.38</v>
      </c>
      <c r="J192" s="12"/>
      <c r="K192" s="12"/>
      <c r="L192" s="12">
        <v>26526.38</v>
      </c>
      <c r="M192" s="23"/>
      <c r="N192" s="15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>
        <f t="shared" si="33"/>
        <v>26526.38</v>
      </c>
      <c r="AE192" s="13">
        <f t="shared" si="34"/>
        <v>0</v>
      </c>
      <c r="AF192" s="14">
        <f t="shared" si="35"/>
        <v>0</v>
      </c>
      <c r="AG192" s="13">
        <f t="shared" si="36"/>
        <v>1501.49</v>
      </c>
      <c r="AH192" s="13">
        <f t="shared" si="37"/>
        <v>105.1</v>
      </c>
      <c r="AI192" s="13">
        <f t="shared" si="38"/>
        <v>45.04</v>
      </c>
      <c r="AJ192" s="13">
        <f t="shared" si="39"/>
        <v>30.03</v>
      </c>
      <c r="AK192" s="13">
        <f t="shared" si="40"/>
        <v>0</v>
      </c>
      <c r="AL192" s="13">
        <f t="shared" si="41"/>
        <v>0</v>
      </c>
      <c r="AM192" s="13">
        <f t="shared" si="42"/>
        <v>1501.49</v>
      </c>
      <c r="AN192" s="13">
        <f t="shared" si="43"/>
        <v>105.1</v>
      </c>
      <c r="AO192" s="13">
        <f t="shared" si="44"/>
        <v>45.04</v>
      </c>
      <c r="AP192" s="13">
        <f t="shared" si="45"/>
        <v>30.03</v>
      </c>
      <c r="AQ192" s="13" t="str">
        <f t="shared" si="46"/>
        <v>TJ202512151613000152322</v>
      </c>
      <c r="AR192" s="13">
        <f t="shared" si="47"/>
        <v>0.06</v>
      </c>
    </row>
    <row r="193" spans="1:44">
      <c r="A193" s="12" t="s">
        <v>357</v>
      </c>
      <c r="B193" s="12" t="s">
        <v>293</v>
      </c>
      <c r="C193" s="12" t="s">
        <v>54</v>
      </c>
      <c r="D193" s="12" t="s">
        <v>55</v>
      </c>
      <c r="E193" s="12" t="s">
        <v>51</v>
      </c>
      <c r="F193" s="5">
        <f>ROUND(SUMIF([1]开票!$A$2:$A$1750,[1]申请!AQ193,[1]开票!$C$2:$C$1750),2)</f>
        <v>447507.79</v>
      </c>
      <c r="G193" s="5">
        <f>ROUND(SUMIF([1]开票!$A$2:$A$1750,[1]申请!AQ193,[1]开票!$D$2:$D$1750),2)</f>
        <v>0</v>
      </c>
      <c r="H193" s="5">
        <f>ROUND(SUMIF([1]开票!$A$2:$A$1750,[1]申请!AQ193,[1]开票!$E$2:$E$1750),2)</f>
        <v>26850.46</v>
      </c>
      <c r="I193" s="5">
        <f t="shared" si="32"/>
        <v>474358.25</v>
      </c>
      <c r="J193" s="12"/>
      <c r="K193" s="12"/>
      <c r="L193" s="12">
        <v>474358.25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>
        <f t="shared" si="33"/>
        <v>474358.25</v>
      </c>
      <c r="AE193" s="13">
        <f t="shared" si="34"/>
        <v>0</v>
      </c>
      <c r="AF193" s="14">
        <f t="shared" si="35"/>
        <v>0</v>
      </c>
      <c r="AG193" s="13">
        <f t="shared" si="36"/>
        <v>26850.46</v>
      </c>
      <c r="AH193" s="13">
        <f t="shared" si="37"/>
        <v>1879.53</v>
      </c>
      <c r="AI193" s="13">
        <f t="shared" si="38"/>
        <v>805.51</v>
      </c>
      <c r="AJ193" s="13">
        <f t="shared" si="39"/>
        <v>537.01</v>
      </c>
      <c r="AK193" s="13">
        <f t="shared" si="40"/>
        <v>0</v>
      </c>
      <c r="AL193" s="13">
        <f t="shared" si="41"/>
        <v>0</v>
      </c>
      <c r="AM193" s="13">
        <f t="shared" si="42"/>
        <v>26850.46</v>
      </c>
      <c r="AN193" s="13">
        <f t="shared" si="43"/>
        <v>1879.53</v>
      </c>
      <c r="AO193" s="13">
        <f t="shared" si="44"/>
        <v>805.51</v>
      </c>
      <c r="AP193" s="13">
        <f t="shared" si="45"/>
        <v>537.01</v>
      </c>
      <c r="AQ193" s="13" t="str">
        <f t="shared" si="46"/>
        <v>TJ202512151623000190910</v>
      </c>
      <c r="AR193" s="13">
        <f t="shared" si="47"/>
        <v>0.06</v>
      </c>
    </row>
    <row r="194" spans="1:44">
      <c r="A194" s="12" t="s">
        <v>358</v>
      </c>
      <c r="B194" s="12" t="s">
        <v>179</v>
      </c>
      <c r="C194" s="12" t="s">
        <v>54</v>
      </c>
      <c r="D194" s="12" t="s">
        <v>47</v>
      </c>
      <c r="E194" s="12" t="s">
        <v>51</v>
      </c>
      <c r="F194" s="5">
        <f>ROUND(SUMIF([1]开票!$A$2:$A$1750,[1]申请!AQ194,[1]开票!$C$2:$C$1750),2)</f>
        <v>33266.66</v>
      </c>
      <c r="G194" s="5">
        <f>ROUND(SUMIF([1]开票!$A$2:$A$1750,[1]申请!AQ194,[1]开票!$D$2:$D$1750),2)</f>
        <v>0</v>
      </c>
      <c r="H194" s="5">
        <f>ROUND(SUMIF([1]开票!$A$2:$A$1750,[1]申请!AQ194,[1]开票!$E$2:$E$1750),2)</f>
        <v>1995.99</v>
      </c>
      <c r="I194" s="5">
        <f t="shared" ref="I194:I257" si="48">SUM(F194:H194)</f>
        <v>35262.65</v>
      </c>
      <c r="J194" s="12">
        <v>2058.65</v>
      </c>
      <c r="K194" s="12"/>
      <c r="L194" s="12"/>
      <c r="M194" s="12"/>
      <c r="N194" s="12"/>
      <c r="O194" s="12"/>
      <c r="P194" s="12"/>
      <c r="Q194" s="12"/>
      <c r="R194" s="12"/>
      <c r="S194" s="12">
        <v>33204</v>
      </c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>
        <f t="shared" ref="AD194:AD257" si="49">SUM(J194:AC194)</f>
        <v>35262.65</v>
      </c>
      <c r="AE194" s="13">
        <f t="shared" ref="AE194:AE257" si="50">AD194-SUM(J194:AC194)</f>
        <v>0</v>
      </c>
      <c r="AF194" s="14">
        <f t="shared" ref="AF194:AF257" si="51">AD194-I194</f>
        <v>0</v>
      </c>
      <c r="AG194" s="13">
        <f t="shared" ref="AG194:AG257" si="52">ROUND(H194,2)</f>
        <v>1995.99</v>
      </c>
      <c r="AH194" s="13">
        <f t="shared" ref="AH194:AH257" si="53">ROUND(AG194*0.07,2)</f>
        <v>139.72</v>
      </c>
      <c r="AI194" s="13">
        <f t="shared" ref="AI194:AI257" si="54">ROUND(AG194*0.03,2)</f>
        <v>59.88</v>
      </c>
      <c r="AJ194" s="13">
        <f t="shared" ref="AJ194:AJ257" si="55">ROUND(AG194*0.02,2)</f>
        <v>39.92</v>
      </c>
      <c r="AK194" s="13">
        <f t="shared" ref="AK194:AK257" si="56">IF(AR194,Y194/(AR194*1.12)*AR194,0)</f>
        <v>0</v>
      </c>
      <c r="AL194" s="13">
        <f t="shared" ref="AL194:AL257" si="57">ROUND(Y194-AK194,2)</f>
        <v>0</v>
      </c>
      <c r="AM194" s="13">
        <f t="shared" ref="AM194:AM257" si="58">ROUND(AG194-AK194,2)</f>
        <v>1995.99</v>
      </c>
      <c r="AN194" s="13">
        <f t="shared" ref="AN194:AN257" si="59">ROUND(AM194*0.07,2)</f>
        <v>139.72</v>
      </c>
      <c r="AO194" s="13">
        <f t="shared" ref="AO194:AO257" si="60">ROUND(AM194*0.03,2)</f>
        <v>59.88</v>
      </c>
      <c r="AP194" s="13">
        <f t="shared" ref="AP194:AP257" si="61">ROUND(AH194+AI194+AJ194-AL194-AN194-AO194,2)</f>
        <v>39.92</v>
      </c>
      <c r="AQ194" s="13" t="str">
        <f t="shared" ref="AQ194:AQ257" si="62">"TJ"&amp;A194</f>
        <v>TJ202512151624000091946</v>
      </c>
      <c r="AR194" s="13">
        <f t="shared" ref="AR194:AR257" si="63">IF(E194="无全额",0,MID(E194,4,2)*1)</f>
        <v>0.06</v>
      </c>
    </row>
    <row r="195" spans="1:44">
      <c r="A195" s="12" t="s">
        <v>359</v>
      </c>
      <c r="B195" s="12" t="s">
        <v>179</v>
      </c>
      <c r="C195" s="12" t="s">
        <v>54</v>
      </c>
      <c r="D195" s="12" t="s">
        <v>47</v>
      </c>
      <c r="E195" s="12" t="s">
        <v>51</v>
      </c>
      <c r="F195" s="5">
        <f>ROUND(SUMIF([1]开票!$A$2:$A$1750,[1]申请!AQ195,[1]开票!$C$2:$C$1750),2)</f>
        <v>16230.56</v>
      </c>
      <c r="G195" s="5">
        <f>ROUND(SUMIF([1]开票!$A$2:$A$1750,[1]申请!AQ195,[1]开票!$D$2:$D$1750),2)</f>
        <v>0</v>
      </c>
      <c r="H195" s="5">
        <f>ROUND(SUMIF([1]开票!$A$2:$A$1750,[1]申请!AQ195,[1]开票!$E$2:$E$1750),2)</f>
        <v>973.84</v>
      </c>
      <c r="I195" s="5">
        <f t="shared" si="48"/>
        <v>17204.4</v>
      </c>
      <c r="J195" s="12">
        <v>1004.4</v>
      </c>
      <c r="K195" s="12"/>
      <c r="L195" s="12"/>
      <c r="M195" s="12"/>
      <c r="N195" s="12"/>
      <c r="O195" s="12"/>
      <c r="P195" s="12"/>
      <c r="Q195" s="12"/>
      <c r="R195" s="12"/>
      <c r="S195" s="12">
        <v>16200</v>
      </c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>
        <f t="shared" si="49"/>
        <v>17204.4</v>
      </c>
      <c r="AE195" s="13">
        <f t="shared" si="50"/>
        <v>0</v>
      </c>
      <c r="AF195" s="14">
        <f t="shared" si="51"/>
        <v>0</v>
      </c>
      <c r="AG195" s="13">
        <f t="shared" si="52"/>
        <v>973.84</v>
      </c>
      <c r="AH195" s="13">
        <f t="shared" si="53"/>
        <v>68.17</v>
      </c>
      <c r="AI195" s="13">
        <f t="shared" si="54"/>
        <v>29.22</v>
      </c>
      <c r="AJ195" s="13">
        <f t="shared" si="55"/>
        <v>19.48</v>
      </c>
      <c r="AK195" s="13">
        <f t="shared" si="56"/>
        <v>0</v>
      </c>
      <c r="AL195" s="13">
        <f t="shared" si="57"/>
        <v>0</v>
      </c>
      <c r="AM195" s="13">
        <f t="shared" si="58"/>
        <v>973.84</v>
      </c>
      <c r="AN195" s="13">
        <f t="shared" si="59"/>
        <v>68.17</v>
      </c>
      <c r="AO195" s="13">
        <f t="shared" si="60"/>
        <v>29.22</v>
      </c>
      <c r="AP195" s="13">
        <f t="shared" si="61"/>
        <v>19.48</v>
      </c>
      <c r="AQ195" s="13" t="str">
        <f t="shared" si="62"/>
        <v>TJ202512151639000099653</v>
      </c>
      <c r="AR195" s="13">
        <f t="shared" si="63"/>
        <v>0.06</v>
      </c>
    </row>
    <row r="196" spans="1:44">
      <c r="A196" s="12" t="s">
        <v>360</v>
      </c>
      <c r="B196" s="12" t="s">
        <v>361</v>
      </c>
      <c r="C196" s="12" t="s">
        <v>54</v>
      </c>
      <c r="D196" s="12" t="s">
        <v>55</v>
      </c>
      <c r="E196" s="12" t="s">
        <v>65</v>
      </c>
      <c r="F196" s="5">
        <f>ROUND(SUMIF([1]开票!$A$2:$A$1750,[1]申请!AQ196,[1]开票!$C$2:$C$1750),2)</f>
        <v>22112.6</v>
      </c>
      <c r="G196" s="5">
        <f>ROUND(SUMIF([1]开票!$A$2:$A$1750,[1]申请!AQ196,[1]开票!$D$2:$D$1750),2)</f>
        <v>0</v>
      </c>
      <c r="H196" s="5">
        <f>ROUND(SUMIF([1]开票!$A$2:$A$1750,[1]申请!AQ196,[1]开票!$E$2:$E$1750),2)</f>
        <v>1326.76</v>
      </c>
      <c r="I196" s="5">
        <f t="shared" si="48"/>
        <v>23439.36</v>
      </c>
      <c r="J196" s="12"/>
      <c r="K196" s="12"/>
      <c r="L196" s="12">
        <v>23439.36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>
        <f t="shared" si="49"/>
        <v>23439.36</v>
      </c>
      <c r="AE196" s="13">
        <f t="shared" si="50"/>
        <v>0</v>
      </c>
      <c r="AF196" s="14">
        <f t="shared" si="51"/>
        <v>0</v>
      </c>
      <c r="AG196" s="13">
        <f t="shared" si="52"/>
        <v>1326.76</v>
      </c>
      <c r="AH196" s="13">
        <f t="shared" si="53"/>
        <v>92.87</v>
      </c>
      <c r="AI196" s="13">
        <f t="shared" si="54"/>
        <v>39.8</v>
      </c>
      <c r="AJ196" s="13">
        <f t="shared" si="55"/>
        <v>26.54</v>
      </c>
      <c r="AK196" s="13">
        <f t="shared" si="56"/>
        <v>0</v>
      </c>
      <c r="AL196" s="13">
        <f t="shared" si="57"/>
        <v>0</v>
      </c>
      <c r="AM196" s="13">
        <f t="shared" si="58"/>
        <v>1326.76</v>
      </c>
      <c r="AN196" s="13">
        <f t="shared" si="59"/>
        <v>92.87</v>
      </c>
      <c r="AO196" s="13">
        <f t="shared" si="60"/>
        <v>39.8</v>
      </c>
      <c r="AP196" s="13">
        <f t="shared" si="61"/>
        <v>26.54</v>
      </c>
      <c r="AQ196" s="13" t="str">
        <f t="shared" si="62"/>
        <v>TJ202512151719000512166</v>
      </c>
      <c r="AR196" s="13">
        <f t="shared" si="63"/>
        <v>0.06</v>
      </c>
    </row>
    <row r="197" spans="1:44">
      <c r="A197" s="12" t="s">
        <v>362</v>
      </c>
      <c r="B197" s="12" t="s">
        <v>361</v>
      </c>
      <c r="C197" s="12" t="s">
        <v>54</v>
      </c>
      <c r="D197" s="12" t="s">
        <v>55</v>
      </c>
      <c r="E197" s="12" t="s">
        <v>65</v>
      </c>
      <c r="F197" s="5">
        <f>ROUND(SUMIF([1]开票!$A$2:$A$1750,[1]申请!AQ197,[1]开票!$C$2:$C$1750),2)</f>
        <v>50288.4</v>
      </c>
      <c r="G197" s="5">
        <f>ROUND(SUMIF([1]开票!$A$2:$A$1750,[1]申请!AQ197,[1]开票!$D$2:$D$1750),2)</f>
        <v>0</v>
      </c>
      <c r="H197" s="5">
        <f>ROUND(SUMIF([1]开票!$A$2:$A$1750,[1]申请!AQ197,[1]开票!$E$2:$E$1750),2)</f>
        <v>3017.3</v>
      </c>
      <c r="I197" s="5">
        <f t="shared" si="48"/>
        <v>53305.7</v>
      </c>
      <c r="J197" s="12"/>
      <c r="K197" s="12"/>
      <c r="L197" s="12">
        <v>53305.7</v>
      </c>
      <c r="M197" s="23"/>
      <c r="N197" s="15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>
        <f t="shared" si="49"/>
        <v>53305.7</v>
      </c>
      <c r="AE197" s="13">
        <f t="shared" si="50"/>
        <v>0</v>
      </c>
      <c r="AF197" s="14">
        <f t="shared" si="51"/>
        <v>0</v>
      </c>
      <c r="AG197" s="13">
        <f t="shared" si="52"/>
        <v>3017.3</v>
      </c>
      <c r="AH197" s="13">
        <f t="shared" si="53"/>
        <v>211.21</v>
      </c>
      <c r="AI197" s="13">
        <f t="shared" si="54"/>
        <v>90.52</v>
      </c>
      <c r="AJ197" s="13">
        <f t="shared" si="55"/>
        <v>60.35</v>
      </c>
      <c r="AK197" s="13">
        <f t="shared" si="56"/>
        <v>0</v>
      </c>
      <c r="AL197" s="13">
        <f t="shared" si="57"/>
        <v>0</v>
      </c>
      <c r="AM197" s="13">
        <f t="shared" si="58"/>
        <v>3017.3</v>
      </c>
      <c r="AN197" s="13">
        <f t="shared" si="59"/>
        <v>211.21</v>
      </c>
      <c r="AO197" s="13">
        <f t="shared" si="60"/>
        <v>90.52</v>
      </c>
      <c r="AP197" s="13">
        <f t="shared" si="61"/>
        <v>60.35</v>
      </c>
      <c r="AQ197" s="13" t="str">
        <f t="shared" si="62"/>
        <v>TJ202512151722000103939</v>
      </c>
      <c r="AR197" s="13">
        <f t="shared" si="63"/>
        <v>0.06</v>
      </c>
    </row>
    <row r="198" spans="1:44">
      <c r="A198" s="12" t="s">
        <v>363</v>
      </c>
      <c r="B198" s="12" t="s">
        <v>257</v>
      </c>
      <c r="C198" s="12" t="s">
        <v>54</v>
      </c>
      <c r="D198" s="12" t="s">
        <v>55</v>
      </c>
      <c r="E198" s="12" t="s">
        <v>51</v>
      </c>
      <c r="F198" s="5">
        <f>ROUND(SUMIF([1]开票!$A$2:$A$1750,[1]申请!AQ198,[1]开票!$C$2:$C$1750),2)</f>
        <v>254495.47</v>
      </c>
      <c r="G198" s="5">
        <f>ROUND(SUMIF([1]开票!$A$2:$A$1750,[1]申请!AQ198,[1]开票!$D$2:$D$1750),2)</f>
        <v>0</v>
      </c>
      <c r="H198" s="5">
        <f>ROUND(SUMIF([1]开票!$A$2:$A$1750,[1]申请!AQ198,[1]开票!$E$2:$E$1750),2)</f>
        <v>15269.72</v>
      </c>
      <c r="I198" s="5">
        <f t="shared" si="48"/>
        <v>269765.19</v>
      </c>
      <c r="J198" s="12"/>
      <c r="K198" s="12"/>
      <c r="L198" s="12">
        <v>269765.19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>
        <f t="shared" si="49"/>
        <v>269765.19</v>
      </c>
      <c r="AE198" s="13">
        <f t="shared" si="50"/>
        <v>0</v>
      </c>
      <c r="AF198" s="14">
        <f t="shared" si="51"/>
        <v>0</v>
      </c>
      <c r="AG198" s="13">
        <f t="shared" si="52"/>
        <v>15269.72</v>
      </c>
      <c r="AH198" s="13">
        <f t="shared" si="53"/>
        <v>1068.88</v>
      </c>
      <c r="AI198" s="13">
        <f t="shared" si="54"/>
        <v>458.09</v>
      </c>
      <c r="AJ198" s="13">
        <f t="shared" si="55"/>
        <v>305.39</v>
      </c>
      <c r="AK198" s="13">
        <f t="shared" si="56"/>
        <v>0</v>
      </c>
      <c r="AL198" s="13">
        <f t="shared" si="57"/>
        <v>0</v>
      </c>
      <c r="AM198" s="13">
        <f t="shared" si="58"/>
        <v>15269.72</v>
      </c>
      <c r="AN198" s="13">
        <f t="shared" si="59"/>
        <v>1068.88</v>
      </c>
      <c r="AO198" s="13">
        <f t="shared" si="60"/>
        <v>458.09</v>
      </c>
      <c r="AP198" s="13">
        <f t="shared" si="61"/>
        <v>305.39</v>
      </c>
      <c r="AQ198" s="13" t="str">
        <f t="shared" si="62"/>
        <v>TJ202512151930000327255</v>
      </c>
      <c r="AR198" s="13">
        <f t="shared" si="63"/>
        <v>0.06</v>
      </c>
    </row>
    <row r="199" spans="1:44">
      <c r="A199" s="12" t="s">
        <v>364</v>
      </c>
      <c r="B199" s="12" t="s">
        <v>365</v>
      </c>
      <c r="C199" s="12" t="s">
        <v>46</v>
      </c>
      <c r="D199" s="12" t="s">
        <v>47</v>
      </c>
      <c r="E199" s="12" t="s">
        <v>77</v>
      </c>
      <c r="F199" s="5">
        <f>ROUND(SUMIF([1]开票!$A$2:$A$1750,[1]申请!AQ199,[1]开票!$C$2:$C$1750),2)</f>
        <v>2443.83</v>
      </c>
      <c r="G199" s="5">
        <f>ROUND(SUMIF([1]开票!$A$2:$A$1750,[1]申请!AQ199,[1]开票!$D$2:$D$1750),2)</f>
        <v>45577.55</v>
      </c>
      <c r="H199" s="5">
        <f>ROUND(SUMIF([1]开票!$A$2:$A$1750,[1]申请!AQ199,[1]开票!$E$2:$E$1750),2)</f>
        <v>122.19</v>
      </c>
      <c r="I199" s="5">
        <f t="shared" si="48"/>
        <v>48143.57</v>
      </c>
      <c r="J199" s="12">
        <v>2566.02</v>
      </c>
      <c r="K199" s="12"/>
      <c r="L199" s="12"/>
      <c r="M199" s="12"/>
      <c r="N199" s="12"/>
      <c r="O199" s="12"/>
      <c r="P199" s="12"/>
      <c r="Q199" s="12"/>
      <c r="R199" s="12"/>
      <c r="S199" s="12">
        <v>45577.55</v>
      </c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>
        <f t="shared" si="49"/>
        <v>48143.57</v>
      </c>
      <c r="AE199" s="13">
        <f t="shared" si="50"/>
        <v>0</v>
      </c>
      <c r="AF199" s="14">
        <f t="shared" si="51"/>
        <v>0</v>
      </c>
      <c r="AG199" s="13">
        <f t="shared" si="52"/>
        <v>122.19</v>
      </c>
      <c r="AH199" s="13">
        <f t="shared" si="53"/>
        <v>8.55</v>
      </c>
      <c r="AI199" s="13">
        <f t="shared" si="54"/>
        <v>3.67</v>
      </c>
      <c r="AJ199" s="13">
        <f t="shared" si="55"/>
        <v>2.44</v>
      </c>
      <c r="AK199" s="13">
        <f t="shared" si="56"/>
        <v>0</v>
      </c>
      <c r="AL199" s="13">
        <f t="shared" si="57"/>
        <v>0</v>
      </c>
      <c r="AM199" s="13">
        <f t="shared" si="58"/>
        <v>122.19</v>
      </c>
      <c r="AN199" s="13">
        <f t="shared" si="59"/>
        <v>8.55</v>
      </c>
      <c r="AO199" s="13">
        <f t="shared" si="60"/>
        <v>3.67</v>
      </c>
      <c r="AP199" s="13">
        <f t="shared" si="61"/>
        <v>2.44</v>
      </c>
      <c r="AQ199" s="13" t="str">
        <f t="shared" si="62"/>
        <v>TJ202512151930000434425</v>
      </c>
      <c r="AR199" s="13">
        <f t="shared" si="63"/>
        <v>0.05</v>
      </c>
    </row>
    <row r="200" spans="1:44">
      <c r="A200" s="12" t="s">
        <v>366</v>
      </c>
      <c r="B200" s="12" t="s">
        <v>365</v>
      </c>
      <c r="C200" s="12" t="s">
        <v>46</v>
      </c>
      <c r="D200" s="12" t="s">
        <v>47</v>
      </c>
      <c r="E200" s="12" t="s">
        <v>77</v>
      </c>
      <c r="F200" s="5">
        <f>ROUND(SUMIF([1]开票!$A$2:$A$1750,[1]申请!AQ200,[1]开票!$C$2:$C$1750),2)</f>
        <v>18177.19</v>
      </c>
      <c r="G200" s="5">
        <f>ROUND(SUMIF([1]开票!$A$2:$A$1750,[1]申请!AQ200,[1]开票!$D$2:$D$1750),2)</f>
        <v>292011.65</v>
      </c>
      <c r="H200" s="5">
        <f>ROUND(SUMIF([1]开票!$A$2:$A$1750,[1]申请!AQ200,[1]开票!$E$2:$E$1750),2)</f>
        <v>908.86</v>
      </c>
      <c r="I200" s="5">
        <f t="shared" si="48"/>
        <v>311097.7</v>
      </c>
      <c r="J200" s="12">
        <v>19086.05</v>
      </c>
      <c r="K200" s="12"/>
      <c r="L200" s="12"/>
      <c r="M200" s="12"/>
      <c r="N200" s="12"/>
      <c r="O200" s="12"/>
      <c r="P200" s="12"/>
      <c r="Q200" s="12"/>
      <c r="R200" s="12"/>
      <c r="S200" s="12">
        <v>242605.28</v>
      </c>
      <c r="T200" s="12">
        <v>6343.47</v>
      </c>
      <c r="U200" s="12">
        <v>43062.9</v>
      </c>
      <c r="V200" s="12"/>
      <c r="W200" s="12"/>
      <c r="X200" s="12"/>
      <c r="Y200" s="12"/>
      <c r="Z200" s="12"/>
      <c r="AA200" s="12"/>
      <c r="AB200" s="12"/>
      <c r="AC200" s="12"/>
      <c r="AD200" s="12">
        <f t="shared" si="49"/>
        <v>311097.7</v>
      </c>
      <c r="AE200" s="13">
        <f t="shared" si="50"/>
        <v>0</v>
      </c>
      <c r="AF200" s="14">
        <f t="shared" si="51"/>
        <v>0</v>
      </c>
      <c r="AG200" s="13">
        <f t="shared" si="52"/>
        <v>908.86</v>
      </c>
      <c r="AH200" s="13">
        <f t="shared" si="53"/>
        <v>63.62</v>
      </c>
      <c r="AI200" s="13">
        <f t="shared" si="54"/>
        <v>27.27</v>
      </c>
      <c r="AJ200" s="13">
        <f t="shared" si="55"/>
        <v>18.18</v>
      </c>
      <c r="AK200" s="13">
        <f t="shared" si="56"/>
        <v>0</v>
      </c>
      <c r="AL200" s="13">
        <f t="shared" si="57"/>
        <v>0</v>
      </c>
      <c r="AM200" s="13">
        <f t="shared" si="58"/>
        <v>908.86</v>
      </c>
      <c r="AN200" s="13">
        <f t="shared" si="59"/>
        <v>63.62</v>
      </c>
      <c r="AO200" s="13">
        <f t="shared" si="60"/>
        <v>27.27</v>
      </c>
      <c r="AP200" s="13">
        <f t="shared" si="61"/>
        <v>18.18</v>
      </c>
      <c r="AQ200" s="13" t="str">
        <f t="shared" si="62"/>
        <v>TJ202512151932000038870</v>
      </c>
      <c r="AR200" s="13">
        <f t="shared" si="63"/>
        <v>0.05</v>
      </c>
    </row>
    <row r="201" spans="1:44">
      <c r="A201" s="12" t="s">
        <v>367</v>
      </c>
      <c r="B201" s="12" t="s">
        <v>340</v>
      </c>
      <c r="C201" s="12" t="s">
        <v>120</v>
      </c>
      <c r="D201" s="12" t="s">
        <v>121</v>
      </c>
      <c r="E201" s="12" t="s">
        <v>48</v>
      </c>
      <c r="F201" s="5">
        <f>ROUND(SUMIF([1]开票!$A$2:$A$1750,[1]申请!AQ201,[1]开票!$C$2:$C$1750),2)</f>
        <v>119.05</v>
      </c>
      <c r="G201" s="5">
        <f>ROUND(SUMIF([1]开票!$A$2:$A$1750,[1]申请!AQ201,[1]开票!$D$2:$D$1750),2)</f>
        <v>0</v>
      </c>
      <c r="H201" s="5">
        <f>ROUND(SUMIF([1]开票!$A$2:$A$1750,[1]申请!AQ201,[1]开票!$E$2:$E$1750),2)</f>
        <v>5.95</v>
      </c>
      <c r="I201" s="5">
        <f t="shared" si="48"/>
        <v>125</v>
      </c>
      <c r="J201" s="12"/>
      <c r="K201" s="12">
        <v>119.05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>
        <v>5.95</v>
      </c>
      <c r="Z201" s="12"/>
      <c r="AA201" s="12"/>
      <c r="AB201" s="12"/>
      <c r="AC201" s="12"/>
      <c r="AD201" s="12">
        <f t="shared" si="49"/>
        <v>125</v>
      </c>
      <c r="AE201" s="13">
        <f t="shared" si="50"/>
        <v>0</v>
      </c>
      <c r="AF201" s="14">
        <f t="shared" si="51"/>
        <v>0</v>
      </c>
      <c r="AG201" s="13">
        <f t="shared" si="52"/>
        <v>5.95</v>
      </c>
      <c r="AH201" s="13">
        <f t="shared" si="53"/>
        <v>0.42</v>
      </c>
      <c r="AI201" s="13">
        <f t="shared" si="54"/>
        <v>0.18</v>
      </c>
      <c r="AJ201" s="13">
        <f t="shared" si="55"/>
        <v>0.12</v>
      </c>
      <c r="AK201" s="13">
        <f t="shared" si="56"/>
        <v>5.3125</v>
      </c>
      <c r="AL201" s="13">
        <f t="shared" si="57"/>
        <v>0.64</v>
      </c>
      <c r="AM201" s="13">
        <f t="shared" si="58"/>
        <v>0.64</v>
      </c>
      <c r="AN201" s="13">
        <f t="shared" si="59"/>
        <v>0.04</v>
      </c>
      <c r="AO201" s="13">
        <f t="shared" si="60"/>
        <v>0.02</v>
      </c>
      <c r="AP201" s="13">
        <f t="shared" si="61"/>
        <v>0.02</v>
      </c>
      <c r="AQ201" s="13" t="str">
        <f t="shared" si="62"/>
        <v>TJ202512161043000008328</v>
      </c>
      <c r="AR201" s="13">
        <f t="shared" si="63"/>
        <v>0.05</v>
      </c>
    </row>
    <row r="202" spans="1:44">
      <c r="A202" s="12" t="s">
        <v>368</v>
      </c>
      <c r="B202" s="12" t="s">
        <v>59</v>
      </c>
      <c r="C202" s="12" t="s">
        <v>54</v>
      </c>
      <c r="D202" s="12" t="s">
        <v>60</v>
      </c>
      <c r="E202" s="12" t="s">
        <v>51</v>
      </c>
      <c r="F202" s="5">
        <f>ROUND(SUMIF([1]开票!$A$2:$A$1750,[1]申请!AQ202,[1]开票!$C$2:$C$1750),2)</f>
        <v>28554.72</v>
      </c>
      <c r="G202" s="5">
        <f>ROUND(SUMIF([1]开票!$A$2:$A$1750,[1]申请!AQ202,[1]开票!$D$2:$D$1750),2)</f>
        <v>0</v>
      </c>
      <c r="H202" s="5">
        <f>ROUND(SUMIF([1]开票!$A$2:$A$1750,[1]申请!AQ202,[1]开票!$E$2:$E$1750),2)</f>
        <v>1713.28</v>
      </c>
      <c r="I202" s="5">
        <f t="shared" si="48"/>
        <v>30268</v>
      </c>
      <c r="J202" s="12"/>
      <c r="K202" s="12"/>
      <c r="L202" s="12"/>
      <c r="M202" s="12"/>
      <c r="N202" s="12"/>
      <c r="O202" s="12"/>
      <c r="P202" s="12"/>
      <c r="Q202" s="12">
        <v>1980.15</v>
      </c>
      <c r="R202" s="12"/>
      <c r="S202" s="12"/>
      <c r="T202" s="12"/>
      <c r="U202" s="12"/>
      <c r="V202" s="12"/>
      <c r="W202" s="12"/>
      <c r="X202" s="12"/>
      <c r="Y202" s="12"/>
      <c r="Z202" s="12">
        <v>28287.85</v>
      </c>
      <c r="AA202" s="12"/>
      <c r="AB202" s="12"/>
      <c r="AC202" s="12"/>
      <c r="AD202" s="12">
        <f t="shared" si="49"/>
        <v>30268</v>
      </c>
      <c r="AE202" s="13">
        <f t="shared" si="50"/>
        <v>0</v>
      </c>
      <c r="AF202" s="14">
        <f t="shared" si="51"/>
        <v>0</v>
      </c>
      <c r="AG202" s="13">
        <f t="shared" si="52"/>
        <v>1713.28</v>
      </c>
      <c r="AH202" s="13">
        <f t="shared" si="53"/>
        <v>119.93</v>
      </c>
      <c r="AI202" s="13">
        <f t="shared" si="54"/>
        <v>51.4</v>
      </c>
      <c r="AJ202" s="13">
        <f t="shared" si="55"/>
        <v>34.27</v>
      </c>
      <c r="AK202" s="13">
        <f t="shared" si="56"/>
        <v>0</v>
      </c>
      <c r="AL202" s="13">
        <f t="shared" si="57"/>
        <v>0</v>
      </c>
      <c r="AM202" s="13">
        <f t="shared" si="58"/>
        <v>1713.28</v>
      </c>
      <c r="AN202" s="13">
        <f t="shared" si="59"/>
        <v>119.93</v>
      </c>
      <c r="AO202" s="13">
        <f t="shared" si="60"/>
        <v>51.4</v>
      </c>
      <c r="AP202" s="13">
        <f t="shared" si="61"/>
        <v>34.27</v>
      </c>
      <c r="AQ202" s="13" t="str">
        <f t="shared" si="62"/>
        <v>TJ202512161109000542210</v>
      </c>
      <c r="AR202" s="13">
        <f t="shared" si="63"/>
        <v>0.06</v>
      </c>
    </row>
    <row r="203" spans="1:44">
      <c r="A203" s="12" t="s">
        <v>369</v>
      </c>
      <c r="B203" s="12" t="s">
        <v>370</v>
      </c>
      <c r="C203" s="12" t="s">
        <v>371</v>
      </c>
      <c r="D203" s="12" t="s">
        <v>55</v>
      </c>
      <c r="E203" s="12" t="s">
        <v>51</v>
      </c>
      <c r="F203" s="5">
        <f>ROUND(SUMIF([1]开票!$A$2:$A$1750,[1]申请!AQ203,[1]开票!$C$2:$C$1750),2)</f>
        <v>9877.36</v>
      </c>
      <c r="G203" s="5">
        <f>ROUND(SUMIF([1]开票!$A$2:$A$1750,[1]申请!AQ203,[1]开票!$D$2:$D$1750),2)</f>
        <v>0</v>
      </c>
      <c r="H203" s="5">
        <f>ROUND(SUMIF([1]开票!$A$2:$A$1750,[1]申请!AQ203,[1]开票!$E$2:$E$1750),2)</f>
        <v>592.64</v>
      </c>
      <c r="I203" s="5">
        <f t="shared" si="48"/>
        <v>10470</v>
      </c>
      <c r="J203" s="12"/>
      <c r="K203" s="12"/>
      <c r="L203" s="12">
        <v>10470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>
        <f t="shared" si="49"/>
        <v>10470</v>
      </c>
      <c r="AE203" s="13">
        <f t="shared" si="50"/>
        <v>0</v>
      </c>
      <c r="AF203" s="14">
        <f t="shared" si="51"/>
        <v>0</v>
      </c>
      <c r="AG203" s="13">
        <f t="shared" si="52"/>
        <v>592.64</v>
      </c>
      <c r="AH203" s="13">
        <f t="shared" si="53"/>
        <v>41.48</v>
      </c>
      <c r="AI203" s="13">
        <f t="shared" si="54"/>
        <v>17.78</v>
      </c>
      <c r="AJ203" s="13">
        <f t="shared" si="55"/>
        <v>11.85</v>
      </c>
      <c r="AK203" s="13">
        <f t="shared" si="56"/>
        <v>0</v>
      </c>
      <c r="AL203" s="13">
        <f t="shared" si="57"/>
        <v>0</v>
      </c>
      <c r="AM203" s="13">
        <f t="shared" si="58"/>
        <v>592.64</v>
      </c>
      <c r="AN203" s="13">
        <f t="shared" si="59"/>
        <v>41.48</v>
      </c>
      <c r="AO203" s="13">
        <f t="shared" si="60"/>
        <v>17.78</v>
      </c>
      <c r="AP203" s="13">
        <f t="shared" si="61"/>
        <v>11.85</v>
      </c>
      <c r="AQ203" s="13" t="str">
        <f t="shared" si="62"/>
        <v>TJ202512161241000488781</v>
      </c>
      <c r="AR203" s="13">
        <f t="shared" si="63"/>
        <v>0.06</v>
      </c>
    </row>
    <row r="204" spans="1:44">
      <c r="A204" s="12" t="s">
        <v>372</v>
      </c>
      <c r="B204" s="12" t="s">
        <v>373</v>
      </c>
      <c r="C204" s="12" t="s">
        <v>260</v>
      </c>
      <c r="D204" s="12" t="s">
        <v>47</v>
      </c>
      <c r="E204" s="12" t="s">
        <v>51</v>
      </c>
      <c r="F204" s="5">
        <f>ROUND(SUMIF([1]开票!$A$2:$A$1750,[1]申请!AQ204,[1]开票!$C$2:$C$1750),2)</f>
        <v>176623.51</v>
      </c>
      <c r="G204" s="5">
        <f>ROUND(SUMIF([1]开票!$A$2:$A$1750,[1]申请!AQ204,[1]开票!$D$2:$D$1750),2)</f>
        <v>0</v>
      </c>
      <c r="H204" s="5">
        <f>ROUND(SUMIF([1]开票!$A$2:$A$1750,[1]申请!AQ204,[1]开票!$E$2:$E$1750),2)</f>
        <v>10597.41</v>
      </c>
      <c r="I204" s="5">
        <f t="shared" si="48"/>
        <v>187220.92</v>
      </c>
      <c r="J204" s="12">
        <v>187220.92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>
        <f t="shared" si="49"/>
        <v>187220.92</v>
      </c>
      <c r="AE204" s="13">
        <f t="shared" si="50"/>
        <v>0</v>
      </c>
      <c r="AF204" s="14">
        <f t="shared" si="51"/>
        <v>0</v>
      </c>
      <c r="AG204" s="13">
        <f t="shared" si="52"/>
        <v>10597.41</v>
      </c>
      <c r="AH204" s="13">
        <f t="shared" si="53"/>
        <v>741.82</v>
      </c>
      <c r="AI204" s="13">
        <f t="shared" si="54"/>
        <v>317.92</v>
      </c>
      <c r="AJ204" s="13">
        <f t="shared" si="55"/>
        <v>211.95</v>
      </c>
      <c r="AK204" s="13">
        <f t="shared" si="56"/>
        <v>0</v>
      </c>
      <c r="AL204" s="13">
        <f t="shared" si="57"/>
        <v>0</v>
      </c>
      <c r="AM204" s="13">
        <f t="shared" si="58"/>
        <v>10597.41</v>
      </c>
      <c r="AN204" s="13">
        <f t="shared" si="59"/>
        <v>741.82</v>
      </c>
      <c r="AO204" s="13">
        <f t="shared" si="60"/>
        <v>317.92</v>
      </c>
      <c r="AP204" s="13">
        <f t="shared" si="61"/>
        <v>211.95</v>
      </c>
      <c r="AQ204" s="13" t="str">
        <f t="shared" si="62"/>
        <v>TJ202512161348000117877</v>
      </c>
      <c r="AR204" s="13">
        <f t="shared" si="63"/>
        <v>0.06</v>
      </c>
    </row>
    <row r="205" spans="1:44">
      <c r="A205" s="12" t="s">
        <v>374</v>
      </c>
      <c r="B205" s="12" t="s">
        <v>373</v>
      </c>
      <c r="C205" s="12" t="s">
        <v>260</v>
      </c>
      <c r="D205" s="12" t="s">
        <v>47</v>
      </c>
      <c r="E205" s="12" t="s">
        <v>51</v>
      </c>
      <c r="F205" s="5">
        <f>ROUND(SUMIF([1]开票!$A$2:$A$1750,[1]申请!AQ205,[1]开票!$C$2:$C$1750),2)</f>
        <v>397287.11</v>
      </c>
      <c r="G205" s="5">
        <f>ROUND(SUMIF([1]开票!$A$2:$A$1750,[1]申请!AQ205,[1]开票!$D$2:$D$1750),2)</f>
        <v>0</v>
      </c>
      <c r="H205" s="5">
        <f>ROUND(SUMIF([1]开票!$A$2:$A$1750,[1]申请!AQ205,[1]开票!$E$2:$E$1750),2)</f>
        <v>23837.23</v>
      </c>
      <c r="I205" s="5">
        <f t="shared" si="48"/>
        <v>421124.34</v>
      </c>
      <c r="J205" s="12">
        <v>421124.34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>
        <f t="shared" si="49"/>
        <v>421124.34</v>
      </c>
      <c r="AE205" s="13">
        <f t="shared" si="50"/>
        <v>0</v>
      </c>
      <c r="AF205" s="14">
        <f t="shared" si="51"/>
        <v>0</v>
      </c>
      <c r="AG205" s="13">
        <f t="shared" si="52"/>
        <v>23837.23</v>
      </c>
      <c r="AH205" s="13">
        <f t="shared" si="53"/>
        <v>1668.61</v>
      </c>
      <c r="AI205" s="13">
        <f t="shared" si="54"/>
        <v>715.12</v>
      </c>
      <c r="AJ205" s="13">
        <f t="shared" si="55"/>
        <v>476.74</v>
      </c>
      <c r="AK205" s="13">
        <f t="shared" si="56"/>
        <v>0</v>
      </c>
      <c r="AL205" s="13">
        <f t="shared" si="57"/>
        <v>0</v>
      </c>
      <c r="AM205" s="13">
        <f t="shared" si="58"/>
        <v>23837.23</v>
      </c>
      <c r="AN205" s="13">
        <f t="shared" si="59"/>
        <v>1668.61</v>
      </c>
      <c r="AO205" s="13">
        <f t="shared" si="60"/>
        <v>715.12</v>
      </c>
      <c r="AP205" s="13">
        <f t="shared" si="61"/>
        <v>476.74</v>
      </c>
      <c r="AQ205" s="13" t="str">
        <f t="shared" si="62"/>
        <v>TJ202512161351000061263</v>
      </c>
      <c r="AR205" s="13">
        <f t="shared" si="63"/>
        <v>0.06</v>
      </c>
    </row>
    <row r="206" spans="1:44">
      <c r="A206" s="12" t="s">
        <v>375</v>
      </c>
      <c r="B206" s="12" t="s">
        <v>373</v>
      </c>
      <c r="C206" s="12" t="s">
        <v>260</v>
      </c>
      <c r="D206" s="12" t="s">
        <v>47</v>
      </c>
      <c r="E206" s="12" t="s">
        <v>51</v>
      </c>
      <c r="F206" s="5">
        <f>ROUND(SUMIF([1]开票!$A$2:$A$1750,[1]申请!AQ206,[1]开票!$C$2:$C$1750),2)</f>
        <v>455540.53</v>
      </c>
      <c r="G206" s="5">
        <f>ROUND(SUMIF([1]开票!$A$2:$A$1750,[1]申请!AQ206,[1]开票!$D$2:$D$1750),2)</f>
        <v>0</v>
      </c>
      <c r="H206" s="5">
        <f>ROUND(SUMIF([1]开票!$A$2:$A$1750,[1]申请!AQ206,[1]开票!$E$2:$E$1750),2)</f>
        <v>27332.43</v>
      </c>
      <c r="I206" s="5">
        <f t="shared" si="48"/>
        <v>482872.96</v>
      </c>
      <c r="J206" s="12">
        <v>482872.96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>
        <f t="shared" si="49"/>
        <v>482872.96</v>
      </c>
      <c r="AE206" s="13">
        <f t="shared" si="50"/>
        <v>0</v>
      </c>
      <c r="AF206" s="14">
        <f t="shared" si="51"/>
        <v>0</v>
      </c>
      <c r="AG206" s="13">
        <f t="shared" si="52"/>
        <v>27332.43</v>
      </c>
      <c r="AH206" s="13">
        <f t="shared" si="53"/>
        <v>1913.27</v>
      </c>
      <c r="AI206" s="13">
        <f t="shared" si="54"/>
        <v>819.97</v>
      </c>
      <c r="AJ206" s="13">
        <f t="shared" si="55"/>
        <v>546.65</v>
      </c>
      <c r="AK206" s="13">
        <f t="shared" si="56"/>
        <v>0</v>
      </c>
      <c r="AL206" s="13">
        <f t="shared" si="57"/>
        <v>0</v>
      </c>
      <c r="AM206" s="13">
        <f t="shared" si="58"/>
        <v>27332.43</v>
      </c>
      <c r="AN206" s="13">
        <f t="shared" si="59"/>
        <v>1913.27</v>
      </c>
      <c r="AO206" s="13">
        <f t="shared" si="60"/>
        <v>819.97</v>
      </c>
      <c r="AP206" s="13">
        <f t="shared" si="61"/>
        <v>546.65</v>
      </c>
      <c r="AQ206" s="13" t="str">
        <f t="shared" si="62"/>
        <v>TJ202512161352000002857</v>
      </c>
      <c r="AR206" s="13">
        <f t="shared" si="63"/>
        <v>0.06</v>
      </c>
    </row>
    <row r="207" spans="1:44">
      <c r="A207" s="12" t="s">
        <v>376</v>
      </c>
      <c r="B207" s="12" t="s">
        <v>377</v>
      </c>
      <c r="C207" s="12" t="s">
        <v>54</v>
      </c>
      <c r="D207" s="12" t="s">
        <v>55</v>
      </c>
      <c r="E207" s="12" t="s">
        <v>51</v>
      </c>
      <c r="F207" s="5">
        <f>ROUND(SUMIF([1]开票!$A$2:$A$1750,[1]申请!AQ207,[1]开票!$C$2:$C$1750),2)</f>
        <v>47830.62</v>
      </c>
      <c r="G207" s="5">
        <f>ROUND(SUMIF([1]开票!$A$2:$A$1750,[1]申请!AQ207,[1]开票!$D$2:$D$1750),2)</f>
        <v>0</v>
      </c>
      <c r="H207" s="5">
        <f>ROUND(SUMIF([1]开票!$A$2:$A$1750,[1]申请!AQ207,[1]开票!$E$2:$E$1750),2)</f>
        <v>2869.84</v>
      </c>
      <c r="I207" s="5">
        <f t="shared" si="48"/>
        <v>50700.46</v>
      </c>
      <c r="J207" s="12"/>
      <c r="K207" s="12"/>
      <c r="L207" s="12">
        <v>50700.46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>
        <f t="shared" si="49"/>
        <v>50700.46</v>
      </c>
      <c r="AE207" s="13">
        <f t="shared" si="50"/>
        <v>0</v>
      </c>
      <c r="AF207" s="14">
        <f t="shared" si="51"/>
        <v>0</v>
      </c>
      <c r="AG207" s="13">
        <f t="shared" si="52"/>
        <v>2869.84</v>
      </c>
      <c r="AH207" s="13">
        <f t="shared" si="53"/>
        <v>200.89</v>
      </c>
      <c r="AI207" s="13">
        <f t="shared" si="54"/>
        <v>86.1</v>
      </c>
      <c r="AJ207" s="13">
        <f t="shared" si="55"/>
        <v>57.4</v>
      </c>
      <c r="AK207" s="13">
        <f t="shared" si="56"/>
        <v>0</v>
      </c>
      <c r="AL207" s="13">
        <f t="shared" si="57"/>
        <v>0</v>
      </c>
      <c r="AM207" s="13">
        <f t="shared" si="58"/>
        <v>2869.84</v>
      </c>
      <c r="AN207" s="13">
        <f t="shared" si="59"/>
        <v>200.89</v>
      </c>
      <c r="AO207" s="13">
        <f t="shared" si="60"/>
        <v>86.1</v>
      </c>
      <c r="AP207" s="13">
        <f t="shared" si="61"/>
        <v>57.4</v>
      </c>
      <c r="AQ207" s="13" t="str">
        <f t="shared" si="62"/>
        <v>TJ202512161408000411726</v>
      </c>
      <c r="AR207" s="13">
        <f t="shared" si="63"/>
        <v>0.06</v>
      </c>
    </row>
    <row r="208" spans="1:44">
      <c r="A208" s="12" t="s">
        <v>378</v>
      </c>
      <c r="B208" s="12" t="s">
        <v>377</v>
      </c>
      <c r="C208" s="12" t="s">
        <v>54</v>
      </c>
      <c r="D208" s="12" t="s">
        <v>55</v>
      </c>
      <c r="E208" s="12" t="s">
        <v>51</v>
      </c>
      <c r="F208" s="5">
        <f>ROUND(SUMIF([1]开票!$A$2:$A$1750,[1]申请!AQ208,[1]开票!$C$2:$C$1750),2)</f>
        <v>107687.62</v>
      </c>
      <c r="G208" s="5">
        <f>ROUND(SUMIF([1]开票!$A$2:$A$1750,[1]申请!AQ208,[1]开票!$D$2:$D$1750),2)</f>
        <v>0</v>
      </c>
      <c r="H208" s="5">
        <f>ROUND(SUMIF([1]开票!$A$2:$A$1750,[1]申请!AQ208,[1]开票!$E$2:$E$1750),2)</f>
        <v>6461.26</v>
      </c>
      <c r="I208" s="5">
        <f t="shared" si="48"/>
        <v>114148.88</v>
      </c>
      <c r="J208" s="12"/>
      <c r="K208" s="12"/>
      <c r="L208" s="12">
        <v>114148.88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>
        <f t="shared" si="49"/>
        <v>114148.88</v>
      </c>
      <c r="AE208" s="13">
        <f t="shared" si="50"/>
        <v>0</v>
      </c>
      <c r="AF208" s="14">
        <f t="shared" si="51"/>
        <v>0</v>
      </c>
      <c r="AG208" s="13">
        <f t="shared" si="52"/>
        <v>6461.26</v>
      </c>
      <c r="AH208" s="13">
        <f t="shared" si="53"/>
        <v>452.29</v>
      </c>
      <c r="AI208" s="13">
        <f t="shared" si="54"/>
        <v>193.84</v>
      </c>
      <c r="AJ208" s="13">
        <f t="shared" si="55"/>
        <v>129.23</v>
      </c>
      <c r="AK208" s="13">
        <f t="shared" si="56"/>
        <v>0</v>
      </c>
      <c r="AL208" s="13">
        <f t="shared" si="57"/>
        <v>0</v>
      </c>
      <c r="AM208" s="13">
        <f t="shared" si="58"/>
        <v>6461.26</v>
      </c>
      <c r="AN208" s="13">
        <f t="shared" si="59"/>
        <v>452.29</v>
      </c>
      <c r="AO208" s="13">
        <f t="shared" si="60"/>
        <v>193.84</v>
      </c>
      <c r="AP208" s="13">
        <f t="shared" si="61"/>
        <v>129.23</v>
      </c>
      <c r="AQ208" s="13" t="str">
        <f t="shared" si="62"/>
        <v>TJ202512161411000145485</v>
      </c>
      <c r="AR208" s="13">
        <f t="shared" si="63"/>
        <v>0.06</v>
      </c>
    </row>
    <row r="209" ht="15" spans="1:44">
      <c r="A209" s="31" t="s">
        <v>379</v>
      </c>
      <c r="B209" s="12" t="s">
        <v>380</v>
      </c>
      <c r="C209" s="12" t="s">
        <v>54</v>
      </c>
      <c r="D209" s="12" t="s">
        <v>55</v>
      </c>
      <c r="E209" s="12" t="s">
        <v>51</v>
      </c>
      <c r="F209" s="5">
        <f>ROUND(SUMIF([1]开票!$A$2:$A$1750,[1]申请!AQ209,[1]开票!$C$2:$C$1750),2)</f>
        <v>84000.91</v>
      </c>
      <c r="G209" s="5">
        <f>ROUND(SUMIF([1]开票!$A$2:$A$1750,[1]申请!AQ209,[1]开票!$D$2:$D$1750),2)</f>
        <v>0</v>
      </c>
      <c r="H209" s="5">
        <f>ROUND(SUMIF([1]开票!$A$2:$A$1750,[1]申请!AQ209,[1]开票!$E$2:$E$1750),2)</f>
        <v>5040.05</v>
      </c>
      <c r="I209" s="5">
        <f t="shared" si="48"/>
        <v>89040.96</v>
      </c>
      <c r="J209" s="12"/>
      <c r="K209" s="32"/>
      <c r="L209" s="12">
        <v>89040.96</v>
      </c>
      <c r="M209" s="12"/>
      <c r="N209" s="12"/>
      <c r="O209" s="12"/>
      <c r="P209" s="12"/>
      <c r="Q209" s="12"/>
      <c r="R209" s="12"/>
      <c r="S209" s="20"/>
      <c r="T209" s="20"/>
      <c r="U209" s="12"/>
      <c r="V209" s="12"/>
      <c r="W209" s="12"/>
      <c r="X209" s="12"/>
      <c r="Y209" s="12"/>
      <c r="Z209" s="12"/>
      <c r="AA209" s="12"/>
      <c r="AB209" s="12"/>
      <c r="AC209" s="12"/>
      <c r="AD209" s="12">
        <f t="shared" si="49"/>
        <v>89040.96</v>
      </c>
      <c r="AE209" s="13">
        <f t="shared" si="50"/>
        <v>0</v>
      </c>
      <c r="AF209" s="14">
        <f t="shared" si="51"/>
        <v>0</v>
      </c>
      <c r="AG209" s="13">
        <f t="shared" si="52"/>
        <v>5040.05</v>
      </c>
      <c r="AH209" s="13">
        <f t="shared" si="53"/>
        <v>352.8</v>
      </c>
      <c r="AI209" s="13">
        <f t="shared" si="54"/>
        <v>151.2</v>
      </c>
      <c r="AJ209" s="13">
        <f t="shared" si="55"/>
        <v>100.8</v>
      </c>
      <c r="AK209" s="13">
        <f t="shared" si="56"/>
        <v>0</v>
      </c>
      <c r="AL209" s="13">
        <f t="shared" si="57"/>
        <v>0</v>
      </c>
      <c r="AM209" s="13">
        <f t="shared" si="58"/>
        <v>5040.05</v>
      </c>
      <c r="AN209" s="13">
        <f t="shared" si="59"/>
        <v>352.8</v>
      </c>
      <c r="AO209" s="13">
        <f t="shared" si="60"/>
        <v>151.2</v>
      </c>
      <c r="AP209" s="13">
        <f t="shared" si="61"/>
        <v>100.8</v>
      </c>
      <c r="AQ209" s="13" t="str">
        <f t="shared" si="62"/>
        <v>TJ202512161419000251708</v>
      </c>
      <c r="AR209" s="13">
        <f t="shared" si="63"/>
        <v>0.06</v>
      </c>
    </row>
    <row r="210" ht="15" spans="1:44">
      <c r="A210" s="31" t="s">
        <v>381</v>
      </c>
      <c r="B210" s="12" t="s">
        <v>382</v>
      </c>
      <c r="C210" s="12" t="s">
        <v>54</v>
      </c>
      <c r="D210" s="12" t="s">
        <v>55</v>
      </c>
      <c r="E210" s="12" t="s">
        <v>51</v>
      </c>
      <c r="F210" s="5">
        <f>ROUND(SUMIF([1]开票!$A$2:$A$1750,[1]申请!AQ210,[1]开票!$C$2:$C$1750),2)</f>
        <v>23302</v>
      </c>
      <c r="G210" s="5">
        <f>ROUND(SUMIF([1]开票!$A$2:$A$1750,[1]申请!AQ210,[1]开票!$D$2:$D$1750),2)</f>
        <v>0</v>
      </c>
      <c r="H210" s="5">
        <f>ROUND(SUMIF([1]开票!$A$2:$A$1750,[1]申请!AQ210,[1]开票!$E$2:$E$1750),2)</f>
        <v>1398.12</v>
      </c>
      <c r="I210" s="5">
        <f t="shared" si="48"/>
        <v>24700.12</v>
      </c>
      <c r="J210" s="12"/>
      <c r="K210" s="32"/>
      <c r="L210" s="12">
        <v>24700.12</v>
      </c>
      <c r="M210" s="12"/>
      <c r="N210" s="12"/>
      <c r="O210" s="12"/>
      <c r="P210" s="12"/>
      <c r="Q210" s="12"/>
      <c r="R210" s="12"/>
      <c r="S210" s="12"/>
      <c r="T210" s="12"/>
      <c r="U210" s="20"/>
      <c r="V210" s="12"/>
      <c r="W210" s="12"/>
      <c r="X210" s="12"/>
      <c r="Y210" s="12"/>
      <c r="Z210" s="12"/>
      <c r="AA210" s="12"/>
      <c r="AB210" s="12"/>
      <c r="AC210" s="12"/>
      <c r="AD210" s="12">
        <f t="shared" si="49"/>
        <v>24700.12</v>
      </c>
      <c r="AE210" s="13">
        <f t="shared" si="50"/>
        <v>0</v>
      </c>
      <c r="AF210" s="14">
        <f t="shared" si="51"/>
        <v>0</v>
      </c>
      <c r="AG210" s="13">
        <f t="shared" si="52"/>
        <v>1398.12</v>
      </c>
      <c r="AH210" s="13">
        <f t="shared" si="53"/>
        <v>97.87</v>
      </c>
      <c r="AI210" s="13">
        <f t="shared" si="54"/>
        <v>41.94</v>
      </c>
      <c r="AJ210" s="13">
        <f t="shared" si="55"/>
        <v>27.96</v>
      </c>
      <c r="AK210" s="13">
        <f t="shared" si="56"/>
        <v>0</v>
      </c>
      <c r="AL210" s="13">
        <f t="shared" si="57"/>
        <v>0</v>
      </c>
      <c r="AM210" s="13">
        <f t="shared" si="58"/>
        <v>1398.12</v>
      </c>
      <c r="AN210" s="13">
        <f t="shared" si="59"/>
        <v>97.87</v>
      </c>
      <c r="AO210" s="13">
        <f t="shared" si="60"/>
        <v>41.94</v>
      </c>
      <c r="AP210" s="13">
        <f t="shared" si="61"/>
        <v>27.96</v>
      </c>
      <c r="AQ210" s="13" t="str">
        <f t="shared" si="62"/>
        <v>TJ202512161424000446351</v>
      </c>
      <c r="AR210" s="13">
        <f t="shared" si="63"/>
        <v>0.06</v>
      </c>
    </row>
    <row r="211" ht="15" spans="1:44">
      <c r="A211" s="31" t="s">
        <v>383</v>
      </c>
      <c r="B211" s="12" t="s">
        <v>382</v>
      </c>
      <c r="C211" s="12" t="s">
        <v>54</v>
      </c>
      <c r="D211" s="12" t="s">
        <v>55</v>
      </c>
      <c r="E211" s="12" t="s">
        <v>51</v>
      </c>
      <c r="F211" s="5">
        <f>ROUND(SUMIF([1]开票!$A$2:$A$1750,[1]申请!AQ211,[1]开票!$C$2:$C$1750),2)</f>
        <v>79417.27</v>
      </c>
      <c r="G211" s="5">
        <f>ROUND(SUMIF([1]开票!$A$2:$A$1750,[1]申请!AQ211,[1]开票!$D$2:$D$1750),2)</f>
        <v>0</v>
      </c>
      <c r="H211" s="5">
        <f>ROUND(SUMIF([1]开票!$A$2:$A$1750,[1]申请!AQ211,[1]开票!$E$2:$E$1750),2)</f>
        <v>4765.04</v>
      </c>
      <c r="I211" s="5">
        <f t="shared" si="48"/>
        <v>84182.31</v>
      </c>
      <c r="J211" s="12"/>
      <c r="K211" s="12"/>
      <c r="L211" s="12">
        <v>84182.31</v>
      </c>
      <c r="M211" s="12"/>
      <c r="N211" s="12"/>
      <c r="O211" s="12"/>
      <c r="P211" s="12"/>
      <c r="Q211" s="12"/>
      <c r="R211" s="12"/>
      <c r="S211" s="20"/>
      <c r="T211" s="20"/>
      <c r="U211" s="12"/>
      <c r="V211" s="12"/>
      <c r="W211" s="12"/>
      <c r="X211" s="12"/>
      <c r="Y211" s="12"/>
      <c r="Z211" s="12"/>
      <c r="AA211" s="12"/>
      <c r="AB211" s="12"/>
      <c r="AC211" s="12"/>
      <c r="AD211" s="12">
        <f t="shared" si="49"/>
        <v>84182.31</v>
      </c>
      <c r="AE211" s="13">
        <f t="shared" si="50"/>
        <v>0</v>
      </c>
      <c r="AF211" s="14">
        <f t="shared" si="51"/>
        <v>0</v>
      </c>
      <c r="AG211" s="13">
        <f t="shared" si="52"/>
        <v>4765.04</v>
      </c>
      <c r="AH211" s="13">
        <f t="shared" si="53"/>
        <v>333.55</v>
      </c>
      <c r="AI211" s="13">
        <f t="shared" si="54"/>
        <v>142.95</v>
      </c>
      <c r="AJ211" s="13">
        <f t="shared" si="55"/>
        <v>95.3</v>
      </c>
      <c r="AK211" s="13">
        <f t="shared" si="56"/>
        <v>0</v>
      </c>
      <c r="AL211" s="13">
        <f t="shared" si="57"/>
        <v>0</v>
      </c>
      <c r="AM211" s="13">
        <f t="shared" si="58"/>
        <v>4765.04</v>
      </c>
      <c r="AN211" s="13">
        <f t="shared" si="59"/>
        <v>333.55</v>
      </c>
      <c r="AO211" s="13">
        <f t="shared" si="60"/>
        <v>142.95</v>
      </c>
      <c r="AP211" s="13">
        <f t="shared" si="61"/>
        <v>95.3</v>
      </c>
      <c r="AQ211" s="13" t="str">
        <f t="shared" si="62"/>
        <v>TJ202512161426000185483</v>
      </c>
      <c r="AR211" s="13">
        <f t="shared" si="63"/>
        <v>0.06</v>
      </c>
    </row>
    <row r="212" ht="15" spans="1:44">
      <c r="A212" s="31" t="s">
        <v>384</v>
      </c>
      <c r="B212" s="12" t="s">
        <v>382</v>
      </c>
      <c r="C212" s="12" t="s">
        <v>54</v>
      </c>
      <c r="D212" s="12" t="s">
        <v>55</v>
      </c>
      <c r="E212" s="12" t="s">
        <v>51</v>
      </c>
      <c r="F212" s="5">
        <f>ROUND(SUMIF([1]开票!$A$2:$A$1750,[1]申请!AQ212,[1]开票!$C$2:$C$1750),2)</f>
        <v>5283.02</v>
      </c>
      <c r="G212" s="5">
        <f>ROUND(SUMIF([1]开票!$A$2:$A$1750,[1]申请!AQ212,[1]开票!$D$2:$D$1750),2)</f>
        <v>0</v>
      </c>
      <c r="H212" s="5">
        <f>ROUND(SUMIF([1]开票!$A$2:$A$1750,[1]申请!AQ212,[1]开票!$E$2:$E$1750),2)</f>
        <v>316.98</v>
      </c>
      <c r="I212" s="5">
        <f t="shared" si="48"/>
        <v>5600</v>
      </c>
      <c r="J212" s="12"/>
      <c r="K212" s="32"/>
      <c r="L212" s="12">
        <v>5600</v>
      </c>
      <c r="M212" s="12"/>
      <c r="N212" s="12"/>
      <c r="O212" s="12"/>
      <c r="P212" s="12"/>
      <c r="Q212" s="12"/>
      <c r="R212" s="12"/>
      <c r="S212" s="12"/>
      <c r="T212" s="12"/>
      <c r="U212" s="20"/>
      <c r="V212" s="12"/>
      <c r="W212" s="12"/>
      <c r="X212" s="12"/>
      <c r="Y212" s="12"/>
      <c r="Z212" s="12"/>
      <c r="AA212" s="12"/>
      <c r="AB212" s="12"/>
      <c r="AC212" s="12"/>
      <c r="AD212" s="12">
        <f t="shared" si="49"/>
        <v>5600</v>
      </c>
      <c r="AE212" s="13">
        <f t="shared" si="50"/>
        <v>0</v>
      </c>
      <c r="AF212" s="14">
        <f t="shared" si="51"/>
        <v>0</v>
      </c>
      <c r="AG212" s="13">
        <f t="shared" si="52"/>
        <v>316.98</v>
      </c>
      <c r="AH212" s="13">
        <f t="shared" si="53"/>
        <v>22.19</v>
      </c>
      <c r="AI212" s="13">
        <f t="shared" si="54"/>
        <v>9.51</v>
      </c>
      <c r="AJ212" s="13">
        <f t="shared" si="55"/>
        <v>6.34</v>
      </c>
      <c r="AK212" s="13">
        <f t="shared" si="56"/>
        <v>0</v>
      </c>
      <c r="AL212" s="13">
        <f t="shared" si="57"/>
        <v>0</v>
      </c>
      <c r="AM212" s="13">
        <f t="shared" si="58"/>
        <v>316.98</v>
      </c>
      <c r="AN212" s="13">
        <f t="shared" si="59"/>
        <v>22.19</v>
      </c>
      <c r="AO212" s="13">
        <f t="shared" si="60"/>
        <v>9.51</v>
      </c>
      <c r="AP212" s="13">
        <f t="shared" si="61"/>
        <v>6.34</v>
      </c>
      <c r="AQ212" s="13" t="str">
        <f t="shared" si="62"/>
        <v>TJ202512161427000243522</v>
      </c>
      <c r="AR212" s="13">
        <f t="shared" si="63"/>
        <v>0.06</v>
      </c>
    </row>
    <row r="213" ht="15" spans="1:44">
      <c r="A213" s="31" t="s">
        <v>385</v>
      </c>
      <c r="B213" s="12" t="s">
        <v>293</v>
      </c>
      <c r="C213" s="12" t="s">
        <v>54</v>
      </c>
      <c r="D213" s="12" t="s">
        <v>55</v>
      </c>
      <c r="E213" s="12" t="s">
        <v>51</v>
      </c>
      <c r="F213" s="5">
        <f>ROUND(SUMIF([1]开票!$A$2:$A$1750,[1]申请!AQ213,[1]开票!$C$2:$C$1750),2)</f>
        <v>782881.83</v>
      </c>
      <c r="G213" s="5">
        <f>ROUND(SUMIF([1]开票!$A$2:$A$1750,[1]申请!AQ213,[1]开票!$D$2:$D$1750),2)</f>
        <v>0</v>
      </c>
      <c r="H213" s="5">
        <f>ROUND(SUMIF([1]开票!$A$2:$A$1750,[1]申请!AQ213,[1]开票!$E$2:$E$1750),2)</f>
        <v>46972.92</v>
      </c>
      <c r="I213" s="5">
        <f t="shared" si="48"/>
        <v>829854.75</v>
      </c>
      <c r="J213" s="12"/>
      <c r="K213" s="32"/>
      <c r="L213" s="12">
        <v>829854.75</v>
      </c>
      <c r="M213" s="12"/>
      <c r="N213" s="12"/>
      <c r="O213" s="12"/>
      <c r="P213" s="12"/>
      <c r="Q213" s="12"/>
      <c r="R213" s="12"/>
      <c r="S213" s="20"/>
      <c r="T213" s="20"/>
      <c r="U213" s="12"/>
      <c r="V213" s="12"/>
      <c r="W213" s="12"/>
      <c r="X213" s="12"/>
      <c r="Y213" s="12"/>
      <c r="Z213" s="12"/>
      <c r="AA213" s="12"/>
      <c r="AB213" s="12"/>
      <c r="AC213" s="12"/>
      <c r="AD213" s="12">
        <f t="shared" si="49"/>
        <v>829854.75</v>
      </c>
      <c r="AE213" s="13">
        <f t="shared" si="50"/>
        <v>0</v>
      </c>
      <c r="AF213" s="14">
        <f t="shared" si="51"/>
        <v>0</v>
      </c>
      <c r="AG213" s="13">
        <f t="shared" si="52"/>
        <v>46972.92</v>
      </c>
      <c r="AH213" s="13">
        <f t="shared" si="53"/>
        <v>3288.1</v>
      </c>
      <c r="AI213" s="13">
        <f t="shared" si="54"/>
        <v>1409.19</v>
      </c>
      <c r="AJ213" s="13">
        <f t="shared" si="55"/>
        <v>939.46</v>
      </c>
      <c r="AK213" s="13">
        <f t="shared" si="56"/>
        <v>0</v>
      </c>
      <c r="AL213" s="13">
        <f t="shared" si="57"/>
        <v>0</v>
      </c>
      <c r="AM213" s="13">
        <f t="shared" si="58"/>
        <v>46972.92</v>
      </c>
      <c r="AN213" s="13">
        <f t="shared" si="59"/>
        <v>3288.1</v>
      </c>
      <c r="AO213" s="13">
        <f t="shared" si="60"/>
        <v>1409.19</v>
      </c>
      <c r="AP213" s="13">
        <f t="shared" si="61"/>
        <v>939.46</v>
      </c>
      <c r="AQ213" s="13" t="str">
        <f t="shared" si="62"/>
        <v>TJ202512161633000091470</v>
      </c>
      <c r="AR213" s="13">
        <f t="shared" si="63"/>
        <v>0.06</v>
      </c>
    </row>
    <row r="214" ht="15" spans="1:44">
      <c r="A214" s="31" t="s">
        <v>386</v>
      </c>
      <c r="B214" s="12" t="s">
        <v>177</v>
      </c>
      <c r="C214" s="12" t="s">
        <v>54</v>
      </c>
      <c r="D214" s="12" t="s">
        <v>47</v>
      </c>
      <c r="E214" s="12" t="s">
        <v>51</v>
      </c>
      <c r="F214" s="5">
        <f>ROUND(SUMIF([1]开票!$A$2:$A$1750,[1]申请!AQ214,[1]开票!$C$2:$C$1750),2)</f>
        <v>680662.16</v>
      </c>
      <c r="G214" s="5">
        <f>ROUND(SUMIF([1]开票!$A$2:$A$1750,[1]申请!AQ214,[1]开票!$D$2:$D$1750),2)</f>
        <v>0</v>
      </c>
      <c r="H214" s="5">
        <f>ROUND(SUMIF([1]开票!$A$2:$A$1750,[1]申请!AQ214,[1]开票!$E$2:$E$1750),2)</f>
        <v>40839.73</v>
      </c>
      <c r="I214" s="5">
        <f t="shared" si="48"/>
        <v>721501.89</v>
      </c>
      <c r="J214" s="12"/>
      <c r="K214" s="32"/>
      <c r="L214" s="12"/>
      <c r="M214" s="12"/>
      <c r="N214" s="12"/>
      <c r="O214" s="12"/>
      <c r="P214" s="12"/>
      <c r="Q214" s="12"/>
      <c r="R214" s="12"/>
      <c r="S214" s="20">
        <v>576756.58</v>
      </c>
      <c r="T214" s="20">
        <v>99313.42</v>
      </c>
      <c r="U214" s="12"/>
      <c r="V214" s="12"/>
      <c r="W214" s="12"/>
      <c r="X214" s="12"/>
      <c r="Y214" s="12">
        <v>45431.89</v>
      </c>
      <c r="Z214" s="12"/>
      <c r="AA214" s="12"/>
      <c r="AB214" s="12"/>
      <c r="AC214" s="12"/>
      <c r="AD214" s="12">
        <f t="shared" si="49"/>
        <v>721501.89</v>
      </c>
      <c r="AE214" s="13">
        <f t="shared" si="50"/>
        <v>0</v>
      </c>
      <c r="AF214" s="14">
        <f t="shared" si="51"/>
        <v>0</v>
      </c>
      <c r="AG214" s="13">
        <f t="shared" si="52"/>
        <v>40839.73</v>
      </c>
      <c r="AH214" s="13">
        <f t="shared" si="53"/>
        <v>2858.78</v>
      </c>
      <c r="AI214" s="13">
        <f t="shared" si="54"/>
        <v>1225.19</v>
      </c>
      <c r="AJ214" s="13">
        <f t="shared" si="55"/>
        <v>816.79</v>
      </c>
      <c r="AK214" s="13">
        <f t="shared" si="56"/>
        <v>40564.1875</v>
      </c>
      <c r="AL214" s="13">
        <f t="shared" si="57"/>
        <v>4867.7</v>
      </c>
      <c r="AM214" s="13">
        <f t="shared" si="58"/>
        <v>275.54</v>
      </c>
      <c r="AN214" s="13">
        <f t="shared" si="59"/>
        <v>19.29</v>
      </c>
      <c r="AO214" s="13">
        <f t="shared" si="60"/>
        <v>8.27</v>
      </c>
      <c r="AP214" s="13">
        <f t="shared" si="61"/>
        <v>5.5</v>
      </c>
      <c r="AQ214" s="13" t="str">
        <f t="shared" si="62"/>
        <v>TJ202512161654000530997</v>
      </c>
      <c r="AR214" s="13">
        <f t="shared" si="63"/>
        <v>0.06</v>
      </c>
    </row>
    <row r="215" ht="15" spans="1:44">
      <c r="A215" s="31" t="s">
        <v>387</v>
      </c>
      <c r="B215" s="12" t="s">
        <v>76</v>
      </c>
      <c r="C215" s="12" t="s">
        <v>46</v>
      </c>
      <c r="D215" s="12" t="s">
        <v>47</v>
      </c>
      <c r="E215" s="12" t="s">
        <v>77</v>
      </c>
      <c r="F215" s="5">
        <f>ROUND(SUMIF([1]开票!$A$2:$A$1750,[1]申请!AQ215,[1]开票!$C$2:$C$1750),2)</f>
        <v>0</v>
      </c>
      <c r="G215" s="5">
        <f>ROUND(SUMIF([1]开票!$A$2:$A$1750,[1]申请!AQ215,[1]开票!$D$2:$D$1750),2)</f>
        <v>10343.55</v>
      </c>
      <c r="H215" s="5">
        <f>ROUND(SUMIF([1]开票!$A$2:$A$1750,[1]申请!AQ215,[1]开票!$E$2:$E$1750),2)</f>
        <v>0</v>
      </c>
      <c r="I215" s="5">
        <f t="shared" si="48"/>
        <v>10343.55</v>
      </c>
      <c r="J215" s="12"/>
      <c r="K215" s="32">
        <v>0</v>
      </c>
      <c r="L215" s="12"/>
      <c r="M215" s="12"/>
      <c r="N215" s="12"/>
      <c r="O215" s="12"/>
      <c r="P215" s="12"/>
      <c r="Q215" s="12"/>
      <c r="R215" s="12"/>
      <c r="S215" s="20">
        <v>10343.55</v>
      </c>
      <c r="T215" s="12">
        <v>0</v>
      </c>
      <c r="U215" s="20">
        <v>0</v>
      </c>
      <c r="V215" s="12">
        <v>0</v>
      </c>
      <c r="W215" s="12"/>
      <c r="X215" s="12">
        <v>0</v>
      </c>
      <c r="Y215" s="12"/>
      <c r="Z215" s="12"/>
      <c r="AA215" s="12"/>
      <c r="AB215" s="12"/>
      <c r="AC215" s="12"/>
      <c r="AD215" s="12">
        <f t="shared" si="49"/>
        <v>10343.55</v>
      </c>
      <c r="AE215" s="13">
        <f t="shared" si="50"/>
        <v>0</v>
      </c>
      <c r="AF215" s="14">
        <f t="shared" si="51"/>
        <v>0</v>
      </c>
      <c r="AG215" s="13">
        <f t="shared" si="52"/>
        <v>0</v>
      </c>
      <c r="AH215" s="13">
        <f t="shared" si="53"/>
        <v>0</v>
      </c>
      <c r="AI215" s="13">
        <f t="shared" si="54"/>
        <v>0</v>
      </c>
      <c r="AJ215" s="13">
        <f t="shared" si="55"/>
        <v>0</v>
      </c>
      <c r="AK215" s="13">
        <f t="shared" si="56"/>
        <v>0</v>
      </c>
      <c r="AL215" s="13">
        <f t="shared" si="57"/>
        <v>0</v>
      </c>
      <c r="AM215" s="13">
        <f t="shared" si="58"/>
        <v>0</v>
      </c>
      <c r="AN215" s="13">
        <f t="shared" si="59"/>
        <v>0</v>
      </c>
      <c r="AO215" s="13">
        <f t="shared" si="60"/>
        <v>0</v>
      </c>
      <c r="AP215" s="13">
        <f t="shared" si="61"/>
        <v>0</v>
      </c>
      <c r="AQ215" s="13" t="str">
        <f t="shared" si="62"/>
        <v>TJ202512170935000416056</v>
      </c>
      <c r="AR215" s="13">
        <f t="shared" si="63"/>
        <v>0.05</v>
      </c>
    </row>
    <row r="216" ht="15" spans="1:44">
      <c r="A216" s="31" t="s">
        <v>388</v>
      </c>
      <c r="B216" s="12" t="s">
        <v>389</v>
      </c>
      <c r="C216" s="12" t="s">
        <v>54</v>
      </c>
      <c r="D216" s="12" t="s">
        <v>55</v>
      </c>
      <c r="E216" s="12" t="s">
        <v>51</v>
      </c>
      <c r="F216" s="5">
        <f>ROUND(SUMIF([1]开票!$A$2:$A$1750,[1]申请!AQ216,[1]开票!$C$2:$C$1750),2)</f>
        <v>93929.05</v>
      </c>
      <c r="G216" s="5">
        <f>ROUND(SUMIF([1]开票!$A$2:$A$1750,[1]申请!AQ216,[1]开票!$D$2:$D$1750),2)</f>
        <v>0</v>
      </c>
      <c r="H216" s="5">
        <f>ROUND(SUMIF([1]开票!$A$2:$A$1750,[1]申请!AQ216,[1]开票!$E$2:$E$1750),2)</f>
        <v>5635.74</v>
      </c>
      <c r="I216" s="5">
        <f t="shared" si="48"/>
        <v>99564.79</v>
      </c>
      <c r="J216" s="12"/>
      <c r="K216" s="32"/>
      <c r="L216" s="12">
        <v>99564.79</v>
      </c>
      <c r="M216" s="12"/>
      <c r="N216" s="12"/>
      <c r="O216" s="12"/>
      <c r="P216" s="12"/>
      <c r="Q216" s="12"/>
      <c r="R216" s="12"/>
      <c r="S216" s="12"/>
      <c r="T216" s="12"/>
      <c r="U216" s="20"/>
      <c r="V216" s="12"/>
      <c r="W216" s="12"/>
      <c r="X216" s="12"/>
      <c r="Y216" s="12"/>
      <c r="Z216" s="12"/>
      <c r="AA216" s="12"/>
      <c r="AB216" s="12"/>
      <c r="AC216" s="12"/>
      <c r="AD216" s="12">
        <f t="shared" si="49"/>
        <v>99564.79</v>
      </c>
      <c r="AE216" s="13">
        <f t="shared" si="50"/>
        <v>0</v>
      </c>
      <c r="AF216" s="14">
        <f t="shared" si="51"/>
        <v>0</v>
      </c>
      <c r="AG216" s="13">
        <f t="shared" si="52"/>
        <v>5635.74</v>
      </c>
      <c r="AH216" s="13">
        <f t="shared" si="53"/>
        <v>394.5</v>
      </c>
      <c r="AI216" s="13">
        <f t="shared" si="54"/>
        <v>169.07</v>
      </c>
      <c r="AJ216" s="13">
        <f t="shared" si="55"/>
        <v>112.71</v>
      </c>
      <c r="AK216" s="13">
        <f t="shared" si="56"/>
        <v>0</v>
      </c>
      <c r="AL216" s="13">
        <f t="shared" si="57"/>
        <v>0</v>
      </c>
      <c r="AM216" s="13">
        <f t="shared" si="58"/>
        <v>5635.74</v>
      </c>
      <c r="AN216" s="13">
        <f t="shared" si="59"/>
        <v>394.5</v>
      </c>
      <c r="AO216" s="13">
        <f t="shared" si="60"/>
        <v>169.07</v>
      </c>
      <c r="AP216" s="13">
        <f t="shared" si="61"/>
        <v>112.71</v>
      </c>
      <c r="AQ216" s="13" t="str">
        <f t="shared" si="62"/>
        <v>TJ202512171106000002257</v>
      </c>
      <c r="AR216" s="13">
        <f t="shared" si="63"/>
        <v>0.06</v>
      </c>
    </row>
    <row r="217" ht="15" spans="1:44">
      <c r="A217" s="31" t="s">
        <v>390</v>
      </c>
      <c r="B217" s="12" t="s">
        <v>391</v>
      </c>
      <c r="C217" s="12" t="s">
        <v>46</v>
      </c>
      <c r="D217" s="12" t="s">
        <v>47</v>
      </c>
      <c r="E217" s="12" t="s">
        <v>48</v>
      </c>
      <c r="F217" s="5">
        <f>ROUND(SUMIF([1]开票!$A$2:$A$1750,[1]申请!AQ217,[1]开票!$C$2:$C$1750),2)</f>
        <v>0</v>
      </c>
      <c r="G217" s="5">
        <f>ROUND(SUMIF([1]开票!$A$2:$A$1750,[1]申请!AQ217,[1]开票!$D$2:$D$1750),2)</f>
        <v>446809.76</v>
      </c>
      <c r="H217" s="5">
        <f>ROUND(SUMIF([1]开票!$A$2:$A$1750,[1]申请!AQ217,[1]开票!$E$2:$E$1750),2)</f>
        <v>0</v>
      </c>
      <c r="I217" s="5">
        <f t="shared" si="48"/>
        <v>446809.76</v>
      </c>
      <c r="J217" s="12"/>
      <c r="K217" s="32"/>
      <c r="L217" s="12"/>
      <c r="M217" s="12"/>
      <c r="N217" s="12"/>
      <c r="O217" s="12"/>
      <c r="P217" s="12"/>
      <c r="Q217" s="12"/>
      <c r="R217" s="12"/>
      <c r="S217" s="20">
        <v>443569.61</v>
      </c>
      <c r="T217" s="32">
        <v>3240.15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>
        <f t="shared" si="49"/>
        <v>446809.76</v>
      </c>
      <c r="AE217" s="13">
        <f t="shared" si="50"/>
        <v>0</v>
      </c>
      <c r="AF217" s="14">
        <f t="shared" si="51"/>
        <v>0</v>
      </c>
      <c r="AG217" s="13">
        <f t="shared" si="52"/>
        <v>0</v>
      </c>
      <c r="AH217" s="13">
        <f t="shared" si="53"/>
        <v>0</v>
      </c>
      <c r="AI217" s="13">
        <f t="shared" si="54"/>
        <v>0</v>
      </c>
      <c r="AJ217" s="13">
        <f t="shared" si="55"/>
        <v>0</v>
      </c>
      <c r="AK217" s="13">
        <f t="shared" si="56"/>
        <v>0</v>
      </c>
      <c r="AL217" s="13">
        <f t="shared" si="57"/>
        <v>0</v>
      </c>
      <c r="AM217" s="13">
        <f t="shared" si="58"/>
        <v>0</v>
      </c>
      <c r="AN217" s="13">
        <f t="shared" si="59"/>
        <v>0</v>
      </c>
      <c r="AO217" s="13">
        <f t="shared" si="60"/>
        <v>0</v>
      </c>
      <c r="AP217" s="13">
        <f t="shared" si="61"/>
        <v>0</v>
      </c>
      <c r="AQ217" s="13" t="str">
        <f t="shared" si="62"/>
        <v>TJ202512171352000437182</v>
      </c>
      <c r="AR217" s="13">
        <f t="shared" si="63"/>
        <v>0.05</v>
      </c>
    </row>
    <row r="218" spans="1:44">
      <c r="A218" s="19" t="s">
        <v>392</v>
      </c>
      <c r="B218" s="12" t="s">
        <v>123</v>
      </c>
      <c r="C218" s="12" t="s">
        <v>46</v>
      </c>
      <c r="D218" s="12" t="s">
        <v>47</v>
      </c>
      <c r="E218" s="12" t="s">
        <v>48</v>
      </c>
      <c r="F218" s="5">
        <f>ROUND(SUMIF([1]开票!$A$2:$A$1750,[1]申请!AQ218,[1]开票!$C$2:$C$1750),2)</f>
        <v>356.19</v>
      </c>
      <c r="G218" s="5">
        <f>ROUND(SUMIF([1]开票!$A$2:$A$1750,[1]申请!AQ218,[1]开票!$D$2:$D$1750),2)</f>
        <v>295872.05</v>
      </c>
      <c r="H218" s="5">
        <f>ROUND(SUMIF([1]开票!$A$2:$A$1750,[1]申请!AQ218,[1]开票!$E$2:$E$1750),2)</f>
        <v>17.81</v>
      </c>
      <c r="I218" s="5">
        <f t="shared" si="48"/>
        <v>296246.05</v>
      </c>
      <c r="J218" s="12">
        <v>374</v>
      </c>
      <c r="K218" s="12"/>
      <c r="L218" s="12"/>
      <c r="M218" s="23"/>
      <c r="N218" s="15"/>
      <c r="O218" s="12"/>
      <c r="P218" s="12"/>
      <c r="Q218" s="12"/>
      <c r="R218" s="12"/>
      <c r="S218" s="12">
        <v>233950.02</v>
      </c>
      <c r="T218" s="12">
        <v>10234.56</v>
      </c>
      <c r="U218" s="12">
        <v>30916.34</v>
      </c>
      <c r="V218" s="12">
        <v>14348</v>
      </c>
      <c r="W218" s="12">
        <v>70</v>
      </c>
      <c r="X218" s="12"/>
      <c r="Y218" s="12"/>
      <c r="Z218" s="12"/>
      <c r="AA218" s="12">
        <v>6353.13</v>
      </c>
      <c r="AB218" s="12"/>
      <c r="AC218" s="12"/>
      <c r="AD218" s="12">
        <f t="shared" si="49"/>
        <v>296246.05</v>
      </c>
      <c r="AE218" s="13">
        <f t="shared" si="50"/>
        <v>0</v>
      </c>
      <c r="AF218" s="14">
        <f t="shared" si="51"/>
        <v>0</v>
      </c>
      <c r="AG218" s="13">
        <f t="shared" si="52"/>
        <v>17.81</v>
      </c>
      <c r="AH218" s="13">
        <f t="shared" si="53"/>
        <v>1.25</v>
      </c>
      <c r="AI218" s="13">
        <f t="shared" si="54"/>
        <v>0.53</v>
      </c>
      <c r="AJ218" s="13">
        <f t="shared" si="55"/>
        <v>0.36</v>
      </c>
      <c r="AK218" s="13">
        <f t="shared" si="56"/>
        <v>0</v>
      </c>
      <c r="AL218" s="13">
        <f t="shared" si="57"/>
        <v>0</v>
      </c>
      <c r="AM218" s="13">
        <f t="shared" si="58"/>
        <v>17.81</v>
      </c>
      <c r="AN218" s="13">
        <f t="shared" si="59"/>
        <v>1.25</v>
      </c>
      <c r="AO218" s="13">
        <f t="shared" si="60"/>
        <v>0.53</v>
      </c>
      <c r="AP218" s="13">
        <f t="shared" si="61"/>
        <v>0.36</v>
      </c>
      <c r="AQ218" s="13" t="str">
        <f t="shared" si="62"/>
        <v>TJ202512171353000057082</v>
      </c>
      <c r="AR218" s="13">
        <f t="shared" si="63"/>
        <v>0.05</v>
      </c>
    </row>
    <row r="219" ht="15" spans="1:44">
      <c r="A219" s="19" t="s">
        <v>393</v>
      </c>
      <c r="B219" s="12" t="s">
        <v>391</v>
      </c>
      <c r="C219" s="12" t="s">
        <v>46</v>
      </c>
      <c r="D219" s="12" t="s">
        <v>47</v>
      </c>
      <c r="E219" s="12" t="s">
        <v>48</v>
      </c>
      <c r="F219" s="5">
        <f>ROUND(SUMIF([1]开票!$A$2:$A$1750,[1]申请!AQ219,[1]开票!$C$2:$C$1750),2)</f>
        <v>1813.33</v>
      </c>
      <c r="G219" s="5">
        <f>ROUND(SUMIF([1]开票!$A$2:$A$1750,[1]申请!AQ219,[1]开票!$D$2:$D$1750),2)</f>
        <v>93477.56</v>
      </c>
      <c r="H219" s="5">
        <f>ROUND(SUMIF([1]开票!$A$2:$A$1750,[1]申请!AQ219,[1]开票!$E$2:$E$1750),2)</f>
        <v>90.67</v>
      </c>
      <c r="I219" s="5">
        <f t="shared" si="48"/>
        <v>95381.56</v>
      </c>
      <c r="J219" s="12">
        <v>1904</v>
      </c>
      <c r="K219" s="32"/>
      <c r="L219" s="12"/>
      <c r="M219" s="12"/>
      <c r="N219" s="12"/>
      <c r="O219" s="12"/>
      <c r="P219" s="12"/>
      <c r="Q219" s="12"/>
      <c r="R219" s="12"/>
      <c r="S219" s="20"/>
      <c r="T219" s="32"/>
      <c r="U219" s="20">
        <v>91774.16</v>
      </c>
      <c r="V219" s="20"/>
      <c r="W219" s="32"/>
      <c r="X219" s="12">
        <v>1703.4</v>
      </c>
      <c r="Y219" s="12"/>
      <c r="Z219" s="12"/>
      <c r="AA219" s="12"/>
      <c r="AB219" s="12"/>
      <c r="AC219" s="12"/>
      <c r="AD219" s="12">
        <f t="shared" si="49"/>
        <v>95381.56</v>
      </c>
      <c r="AE219" s="13">
        <f t="shared" si="50"/>
        <v>0</v>
      </c>
      <c r="AF219" s="14">
        <f t="shared" si="51"/>
        <v>0</v>
      </c>
      <c r="AG219" s="13">
        <f t="shared" si="52"/>
        <v>90.67</v>
      </c>
      <c r="AH219" s="13">
        <f t="shared" si="53"/>
        <v>6.35</v>
      </c>
      <c r="AI219" s="13">
        <f t="shared" si="54"/>
        <v>2.72</v>
      </c>
      <c r="AJ219" s="13">
        <f t="shared" si="55"/>
        <v>1.81</v>
      </c>
      <c r="AK219" s="13">
        <f t="shared" si="56"/>
        <v>0</v>
      </c>
      <c r="AL219" s="13">
        <f t="shared" si="57"/>
        <v>0</v>
      </c>
      <c r="AM219" s="13">
        <f t="shared" si="58"/>
        <v>90.67</v>
      </c>
      <c r="AN219" s="13">
        <f t="shared" si="59"/>
        <v>6.35</v>
      </c>
      <c r="AO219" s="13">
        <f t="shared" si="60"/>
        <v>2.72</v>
      </c>
      <c r="AP219" s="13">
        <f t="shared" si="61"/>
        <v>1.81</v>
      </c>
      <c r="AQ219" s="13" t="str">
        <f t="shared" si="62"/>
        <v>TJ202512171354000462129</v>
      </c>
      <c r="AR219" s="13">
        <f t="shared" si="63"/>
        <v>0.05</v>
      </c>
    </row>
    <row r="220" spans="1:44">
      <c r="A220" s="19" t="s">
        <v>394</v>
      </c>
      <c r="B220" s="12" t="s">
        <v>395</v>
      </c>
      <c r="C220" s="12" t="s">
        <v>46</v>
      </c>
      <c r="D220" s="12" t="s">
        <v>47</v>
      </c>
      <c r="E220" s="12" t="s">
        <v>184</v>
      </c>
      <c r="F220" s="5">
        <f>ROUND(SUMIF([1]开票!$A$2:$A$1750,[1]申请!AQ220,[1]开票!$C$2:$C$1750),2)</f>
        <v>171.43</v>
      </c>
      <c r="G220" s="5">
        <f>ROUND(SUMIF([1]开票!$A$2:$A$1750,[1]申请!AQ220,[1]开票!$D$2:$D$1750),2)</f>
        <v>52699.95</v>
      </c>
      <c r="H220" s="5">
        <f>ROUND(SUMIF([1]开票!$A$2:$A$1750,[1]申请!AQ220,[1]开票!$E$2:$E$1750),2)</f>
        <v>8.57</v>
      </c>
      <c r="I220" s="5">
        <f t="shared" si="48"/>
        <v>52879.95</v>
      </c>
      <c r="J220" s="12">
        <v>180</v>
      </c>
      <c r="K220" s="12"/>
      <c r="L220" s="12"/>
      <c r="M220" s="12"/>
      <c r="N220" s="12"/>
      <c r="O220" s="12"/>
      <c r="P220" s="12"/>
      <c r="Q220" s="12"/>
      <c r="R220" s="12"/>
      <c r="S220" s="12">
        <v>31296.16</v>
      </c>
      <c r="T220" s="12">
        <v>8765.39</v>
      </c>
      <c r="U220" s="12">
        <v>8918.4</v>
      </c>
      <c r="V220" s="12">
        <v>3360</v>
      </c>
      <c r="W220" s="12"/>
      <c r="X220" s="12">
        <v>360</v>
      </c>
      <c r="Y220" s="12"/>
      <c r="Z220" s="12"/>
      <c r="AA220" s="12"/>
      <c r="AB220" s="12"/>
      <c r="AC220" s="12"/>
      <c r="AD220" s="12">
        <f t="shared" si="49"/>
        <v>52879.95</v>
      </c>
      <c r="AE220" s="13">
        <f t="shared" si="50"/>
        <v>0</v>
      </c>
      <c r="AF220" s="14">
        <f t="shared" si="51"/>
        <v>0</v>
      </c>
      <c r="AG220" s="13">
        <f t="shared" si="52"/>
        <v>8.57</v>
      </c>
      <c r="AH220" s="13">
        <f t="shared" si="53"/>
        <v>0.6</v>
      </c>
      <c r="AI220" s="13">
        <f t="shared" si="54"/>
        <v>0.26</v>
      </c>
      <c r="AJ220" s="13">
        <f t="shared" si="55"/>
        <v>0.17</v>
      </c>
      <c r="AK220" s="13">
        <f t="shared" si="56"/>
        <v>0</v>
      </c>
      <c r="AL220" s="13">
        <f t="shared" si="57"/>
        <v>0</v>
      </c>
      <c r="AM220" s="13">
        <f t="shared" si="58"/>
        <v>8.57</v>
      </c>
      <c r="AN220" s="13">
        <f t="shared" si="59"/>
        <v>0.6</v>
      </c>
      <c r="AO220" s="13">
        <f t="shared" si="60"/>
        <v>0.26</v>
      </c>
      <c r="AP220" s="13">
        <f t="shared" si="61"/>
        <v>0.17</v>
      </c>
      <c r="AQ220" s="13" t="str">
        <f t="shared" si="62"/>
        <v>TJ202512171358000106915</v>
      </c>
      <c r="AR220" s="13">
        <f t="shared" si="63"/>
        <v>0.05</v>
      </c>
    </row>
    <row r="221" spans="1:44">
      <c r="A221" s="54" t="s">
        <v>396</v>
      </c>
      <c r="B221" s="12" t="s">
        <v>257</v>
      </c>
      <c r="C221" s="12" t="s">
        <v>54</v>
      </c>
      <c r="D221" s="12" t="s">
        <v>55</v>
      </c>
      <c r="E221" s="12" t="s">
        <v>51</v>
      </c>
      <c r="F221" s="5">
        <f>ROUND(SUMIF([1]开票!$A$2:$A$1750,[1]申请!AQ221,[1]开票!$C$2:$C$1750),2)</f>
        <v>153640.89</v>
      </c>
      <c r="G221" s="5">
        <f>ROUND(SUMIF([1]开票!$A$2:$A$1750,[1]申请!AQ221,[1]开票!$D$2:$D$1750),2)</f>
        <v>0</v>
      </c>
      <c r="H221" s="5">
        <f>ROUND(SUMIF([1]开票!$A$2:$A$1750,[1]申请!AQ221,[1]开票!$E$2:$E$1750),2)</f>
        <v>9218.45</v>
      </c>
      <c r="I221" s="5">
        <f t="shared" si="48"/>
        <v>162859.34</v>
      </c>
      <c r="J221" s="12"/>
      <c r="K221" s="12"/>
      <c r="L221" s="15">
        <v>162859.34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>
        <f t="shared" si="49"/>
        <v>162859.34</v>
      </c>
      <c r="AE221" s="13">
        <f t="shared" si="50"/>
        <v>0</v>
      </c>
      <c r="AF221" s="22">
        <f t="shared" si="51"/>
        <v>0</v>
      </c>
      <c r="AG221" s="13">
        <f t="shared" si="52"/>
        <v>9218.45</v>
      </c>
      <c r="AH221" s="13">
        <f t="shared" si="53"/>
        <v>645.29</v>
      </c>
      <c r="AI221" s="13">
        <f t="shared" si="54"/>
        <v>276.55</v>
      </c>
      <c r="AJ221" s="13">
        <f t="shared" si="55"/>
        <v>184.37</v>
      </c>
      <c r="AK221" s="13">
        <f t="shared" si="56"/>
        <v>0</v>
      </c>
      <c r="AL221" s="13">
        <f t="shared" si="57"/>
        <v>0</v>
      </c>
      <c r="AM221" s="13">
        <f t="shared" si="58"/>
        <v>9218.45</v>
      </c>
      <c r="AN221" s="13">
        <f t="shared" si="59"/>
        <v>645.29</v>
      </c>
      <c r="AO221" s="13">
        <f t="shared" si="60"/>
        <v>276.55</v>
      </c>
      <c r="AP221" s="13">
        <f t="shared" si="61"/>
        <v>184.37</v>
      </c>
      <c r="AQ221" s="13" t="str">
        <f t="shared" si="62"/>
        <v>TJ202512191741000231618</v>
      </c>
      <c r="AR221" s="13">
        <f t="shared" si="63"/>
        <v>0.06</v>
      </c>
    </row>
    <row r="222" spans="1:44">
      <c r="A222" s="19" t="s">
        <v>397</v>
      </c>
      <c r="B222" s="12" t="s">
        <v>398</v>
      </c>
      <c r="C222" s="12" t="s">
        <v>54</v>
      </c>
      <c r="D222" s="12" t="s">
        <v>55</v>
      </c>
      <c r="E222" s="12" t="s">
        <v>51</v>
      </c>
      <c r="F222" s="5">
        <f>ROUND(SUMIF([1]开票!$A$2:$A$1750,[1]申请!AQ222,[1]开票!$C$2:$C$1750),2)</f>
        <v>448734.34</v>
      </c>
      <c r="G222" s="5">
        <f>ROUND(SUMIF([1]开票!$A$2:$A$1750,[1]申请!AQ222,[1]开票!$D$2:$D$1750),2)</f>
        <v>0</v>
      </c>
      <c r="H222" s="5">
        <f>ROUND(SUMIF([1]开票!$A$2:$A$1750,[1]申请!AQ222,[1]开票!$E$2:$E$1750),2)</f>
        <v>26924.06</v>
      </c>
      <c r="I222" s="5">
        <f t="shared" si="48"/>
        <v>475658.4</v>
      </c>
      <c r="J222" s="12"/>
      <c r="K222" s="12"/>
      <c r="L222" s="12">
        <v>475658.4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>
        <f t="shared" si="49"/>
        <v>475658.4</v>
      </c>
      <c r="AE222" s="13">
        <f t="shared" si="50"/>
        <v>0</v>
      </c>
      <c r="AF222" s="14">
        <f t="shared" si="51"/>
        <v>0</v>
      </c>
      <c r="AG222" s="13">
        <f t="shared" si="52"/>
        <v>26924.06</v>
      </c>
      <c r="AH222" s="13">
        <f t="shared" si="53"/>
        <v>1884.68</v>
      </c>
      <c r="AI222" s="13">
        <f t="shared" si="54"/>
        <v>807.72</v>
      </c>
      <c r="AJ222" s="13">
        <f t="shared" si="55"/>
        <v>538.48</v>
      </c>
      <c r="AK222" s="13">
        <f t="shared" si="56"/>
        <v>0</v>
      </c>
      <c r="AL222" s="13">
        <f t="shared" si="57"/>
        <v>0</v>
      </c>
      <c r="AM222" s="13">
        <f t="shared" si="58"/>
        <v>26924.06</v>
      </c>
      <c r="AN222" s="13">
        <f t="shared" si="59"/>
        <v>1884.68</v>
      </c>
      <c r="AO222" s="13">
        <f t="shared" si="60"/>
        <v>807.72</v>
      </c>
      <c r="AP222" s="13">
        <f t="shared" si="61"/>
        <v>538.48</v>
      </c>
      <c r="AQ222" s="13" t="str">
        <f t="shared" si="62"/>
        <v>TJ202512171538000223533</v>
      </c>
      <c r="AR222" s="13">
        <f t="shared" si="63"/>
        <v>0.06</v>
      </c>
    </row>
    <row r="223" spans="1:44">
      <c r="A223" s="19" t="s">
        <v>399</v>
      </c>
      <c r="B223" s="12" t="s">
        <v>277</v>
      </c>
      <c r="C223" s="12" t="s">
        <v>54</v>
      </c>
      <c r="D223" s="12" t="s">
        <v>47</v>
      </c>
      <c r="E223" s="12" t="s">
        <v>51</v>
      </c>
      <c r="F223" s="5">
        <f>ROUND(SUMIF([1]开票!$A$2:$A$1750,[1]申请!AQ223,[1]开票!$C$2:$C$1750),2)</f>
        <v>1517.28</v>
      </c>
      <c r="G223" s="5">
        <f>ROUND(SUMIF([1]开票!$A$2:$A$1750,[1]申请!AQ223,[1]开票!$D$2:$D$1750),2)</f>
        <v>0</v>
      </c>
      <c r="H223" s="5">
        <f>ROUND(SUMIF([1]开票!$A$2:$A$1750,[1]申请!AQ223,[1]开票!$E$2:$E$1750),2)</f>
        <v>91.04</v>
      </c>
      <c r="I223" s="5">
        <f t="shared" si="48"/>
        <v>1608.32</v>
      </c>
      <c r="J223" s="12">
        <v>57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>
        <v>1377.55</v>
      </c>
      <c r="V223" s="12"/>
      <c r="W223" s="12">
        <v>81.2</v>
      </c>
      <c r="X223" s="12"/>
      <c r="Y223" s="12">
        <v>92.57</v>
      </c>
      <c r="Z223" s="12"/>
      <c r="AA223" s="12"/>
      <c r="AB223" s="12"/>
      <c r="AC223" s="12"/>
      <c r="AD223" s="12">
        <f t="shared" si="49"/>
        <v>1608.32</v>
      </c>
      <c r="AE223" s="21">
        <f t="shared" si="50"/>
        <v>0</v>
      </c>
      <c r="AF223" s="22">
        <f t="shared" si="51"/>
        <v>0</v>
      </c>
      <c r="AG223" s="21">
        <f t="shared" si="52"/>
        <v>91.04</v>
      </c>
      <c r="AH223" s="21">
        <f t="shared" si="53"/>
        <v>6.37</v>
      </c>
      <c r="AI223" s="21">
        <f t="shared" si="54"/>
        <v>2.73</v>
      </c>
      <c r="AJ223" s="21">
        <f t="shared" si="55"/>
        <v>1.82</v>
      </c>
      <c r="AK223" s="21">
        <f t="shared" si="56"/>
        <v>82.6517857142857</v>
      </c>
      <c r="AL223" s="21">
        <f t="shared" si="57"/>
        <v>9.92</v>
      </c>
      <c r="AM223" s="21">
        <f t="shared" si="58"/>
        <v>8.39</v>
      </c>
      <c r="AN223" s="21">
        <f t="shared" si="59"/>
        <v>0.59</v>
      </c>
      <c r="AO223" s="21">
        <f t="shared" si="60"/>
        <v>0.25</v>
      </c>
      <c r="AP223" s="21">
        <f t="shared" si="61"/>
        <v>0.16</v>
      </c>
      <c r="AQ223" s="21" t="str">
        <f t="shared" si="62"/>
        <v>TJ202512171541000275584</v>
      </c>
      <c r="AR223" s="21">
        <f t="shared" si="63"/>
        <v>0.06</v>
      </c>
    </row>
    <row r="224" spans="1:44">
      <c r="A224" s="12" t="s">
        <v>400</v>
      </c>
      <c r="B224" s="12" t="s">
        <v>401</v>
      </c>
      <c r="C224" s="12" t="s">
        <v>46</v>
      </c>
      <c r="D224" s="12" t="s">
        <v>47</v>
      </c>
      <c r="E224" s="12" t="s">
        <v>48</v>
      </c>
      <c r="F224" s="5">
        <f>ROUND(SUMIF([1]开票!$A$2:$A$1750,[1]申请!AQ224,[1]开票!$C$2:$C$1750),2)</f>
        <v>740.95</v>
      </c>
      <c r="G224" s="5">
        <f>ROUND(SUMIF([1]开票!$A$2:$A$1750,[1]申请!AQ224,[1]开票!$D$2:$D$1750),2)</f>
        <v>69946.94</v>
      </c>
      <c r="H224" s="5">
        <f>ROUND(SUMIF([1]开票!$A$2:$A$1750,[1]申请!AQ224,[1]开票!$E$2:$E$1750),2)</f>
        <v>37.05</v>
      </c>
      <c r="I224" s="5">
        <f t="shared" si="48"/>
        <v>70724.94</v>
      </c>
      <c r="J224" s="12">
        <v>778</v>
      </c>
      <c r="K224" s="12"/>
      <c r="L224" s="12"/>
      <c r="M224" s="12"/>
      <c r="N224" s="12"/>
      <c r="O224" s="12"/>
      <c r="P224" s="12"/>
      <c r="Q224" s="12"/>
      <c r="R224" s="12"/>
      <c r="S224" s="12">
        <v>58214.28</v>
      </c>
      <c r="T224" s="12">
        <v>0</v>
      </c>
      <c r="U224" s="12">
        <v>10982.66</v>
      </c>
      <c r="V224" s="12">
        <v>750</v>
      </c>
      <c r="W224" s="12"/>
      <c r="X224" s="12"/>
      <c r="Y224" s="12"/>
      <c r="Z224" s="12"/>
      <c r="AA224" s="12"/>
      <c r="AB224" s="12"/>
      <c r="AC224" s="12"/>
      <c r="AD224" s="12">
        <f t="shared" si="49"/>
        <v>70724.94</v>
      </c>
      <c r="AE224" s="13">
        <f t="shared" si="50"/>
        <v>0</v>
      </c>
      <c r="AF224" s="14">
        <f t="shared" si="51"/>
        <v>0</v>
      </c>
      <c r="AG224" s="13">
        <f t="shared" si="52"/>
        <v>37.05</v>
      </c>
      <c r="AH224" s="13">
        <f t="shared" si="53"/>
        <v>2.59</v>
      </c>
      <c r="AI224" s="13">
        <f t="shared" si="54"/>
        <v>1.11</v>
      </c>
      <c r="AJ224" s="13">
        <f t="shared" si="55"/>
        <v>0.74</v>
      </c>
      <c r="AK224" s="13">
        <f t="shared" si="56"/>
        <v>0</v>
      </c>
      <c r="AL224" s="13">
        <f t="shared" si="57"/>
        <v>0</v>
      </c>
      <c r="AM224" s="13">
        <f t="shared" si="58"/>
        <v>37.05</v>
      </c>
      <c r="AN224" s="13">
        <f t="shared" si="59"/>
        <v>2.59</v>
      </c>
      <c r="AO224" s="13">
        <f t="shared" si="60"/>
        <v>1.11</v>
      </c>
      <c r="AP224" s="13">
        <f t="shared" si="61"/>
        <v>0.74</v>
      </c>
      <c r="AQ224" s="13" t="str">
        <f t="shared" si="62"/>
        <v>TJ202512171549000023712</v>
      </c>
      <c r="AR224" s="13">
        <f t="shared" si="63"/>
        <v>0.05</v>
      </c>
    </row>
    <row r="225" spans="1:44">
      <c r="A225" s="12" t="s">
        <v>402</v>
      </c>
      <c r="B225" s="12" t="s">
        <v>401</v>
      </c>
      <c r="C225" s="12" t="s">
        <v>46</v>
      </c>
      <c r="D225" s="12" t="s">
        <v>47</v>
      </c>
      <c r="E225" s="12" t="s">
        <v>109</v>
      </c>
      <c r="F225" s="5">
        <f>ROUND(SUMIF([1]开票!$A$2:$A$1750,[1]申请!AQ225,[1]开票!$C$2:$C$1750),2)</f>
        <v>143.4</v>
      </c>
      <c r="G225" s="5">
        <f>ROUND(SUMIF([1]开票!$A$2:$A$1750,[1]申请!AQ225,[1]开票!$D$2:$D$1750),2)</f>
        <v>0</v>
      </c>
      <c r="H225" s="5">
        <f>ROUND(SUMIF([1]开票!$A$2:$A$1750,[1]申请!AQ225,[1]开票!$E$2:$E$1750),2)</f>
        <v>8.6</v>
      </c>
      <c r="I225" s="5">
        <f t="shared" si="48"/>
        <v>152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>
        <v>152</v>
      </c>
      <c r="X225" s="12"/>
      <c r="Y225" s="12"/>
      <c r="Z225" s="12"/>
      <c r="AA225" s="12"/>
      <c r="AB225" s="12"/>
      <c r="AC225" s="12"/>
      <c r="AD225" s="12">
        <f t="shared" si="49"/>
        <v>152</v>
      </c>
      <c r="AE225" s="13">
        <f t="shared" si="50"/>
        <v>0</v>
      </c>
      <c r="AF225" s="14">
        <f t="shared" si="51"/>
        <v>0</v>
      </c>
      <c r="AG225" s="13">
        <f t="shared" si="52"/>
        <v>8.6</v>
      </c>
      <c r="AH225" s="13">
        <f t="shared" si="53"/>
        <v>0.6</v>
      </c>
      <c r="AI225" s="13">
        <f t="shared" si="54"/>
        <v>0.26</v>
      </c>
      <c r="AJ225" s="13">
        <f t="shared" si="55"/>
        <v>0.17</v>
      </c>
      <c r="AK225" s="13">
        <f t="shared" si="56"/>
        <v>0</v>
      </c>
      <c r="AL225" s="13">
        <f t="shared" si="57"/>
        <v>0</v>
      </c>
      <c r="AM225" s="13">
        <f t="shared" si="58"/>
        <v>8.6</v>
      </c>
      <c r="AN225" s="13">
        <f t="shared" si="59"/>
        <v>0.6</v>
      </c>
      <c r="AO225" s="13">
        <f t="shared" si="60"/>
        <v>0.26</v>
      </c>
      <c r="AP225" s="13">
        <f t="shared" si="61"/>
        <v>0.17</v>
      </c>
      <c r="AQ225" s="13" t="str">
        <f t="shared" si="62"/>
        <v>TJ202512171550000361245</v>
      </c>
      <c r="AR225" s="13">
        <f t="shared" si="63"/>
        <v>0.06</v>
      </c>
    </row>
    <row r="226" ht="15" spans="1:44">
      <c r="A226" s="12" t="s">
        <v>403</v>
      </c>
      <c r="B226" s="12" t="s">
        <v>404</v>
      </c>
      <c r="C226" s="12" t="s">
        <v>46</v>
      </c>
      <c r="D226" s="12" t="s">
        <v>47</v>
      </c>
      <c r="E226" s="12" t="s">
        <v>48</v>
      </c>
      <c r="F226" s="5">
        <f>ROUND(SUMIF([1]开票!$A$2:$A$1750,[1]申请!AQ226,[1]开票!$C$2:$C$1750),2)</f>
        <v>2426.67</v>
      </c>
      <c r="G226" s="5">
        <f>ROUND(SUMIF([1]开票!$A$2:$A$1750,[1]申请!AQ226,[1]开票!$D$2:$D$1750),2)</f>
        <v>219671.46</v>
      </c>
      <c r="H226" s="5">
        <f>ROUND(SUMIF([1]开票!$A$2:$A$1750,[1]申请!AQ226,[1]开票!$E$2:$E$1750),2)</f>
        <v>121.33</v>
      </c>
      <c r="I226" s="5">
        <f t="shared" si="48"/>
        <v>222219.46</v>
      </c>
      <c r="J226" s="12">
        <v>2548</v>
      </c>
      <c r="K226" s="12"/>
      <c r="L226" s="20"/>
      <c r="M226" s="20"/>
      <c r="N226" s="12"/>
      <c r="O226" s="12"/>
      <c r="P226" s="12"/>
      <c r="Q226" s="12"/>
      <c r="R226" s="12"/>
      <c r="S226" s="12">
        <v>172623.33</v>
      </c>
      <c r="T226" s="12">
        <v>811.8</v>
      </c>
      <c r="U226" s="12">
        <v>34006.33</v>
      </c>
      <c r="V226" s="12">
        <v>11250</v>
      </c>
      <c r="W226" s="12"/>
      <c r="X226" s="12">
        <v>980</v>
      </c>
      <c r="Y226" s="12"/>
      <c r="Z226" s="12"/>
      <c r="AA226" s="12"/>
      <c r="AB226" s="12"/>
      <c r="AC226" s="12"/>
      <c r="AD226" s="12">
        <f t="shared" si="49"/>
        <v>222219.46</v>
      </c>
      <c r="AE226" s="13">
        <f t="shared" si="50"/>
        <v>0</v>
      </c>
      <c r="AF226" s="14">
        <f t="shared" si="51"/>
        <v>0</v>
      </c>
      <c r="AG226" s="13">
        <f t="shared" si="52"/>
        <v>121.33</v>
      </c>
      <c r="AH226" s="13">
        <f t="shared" si="53"/>
        <v>8.49</v>
      </c>
      <c r="AI226" s="13">
        <f t="shared" si="54"/>
        <v>3.64</v>
      </c>
      <c r="AJ226" s="13">
        <f t="shared" si="55"/>
        <v>2.43</v>
      </c>
      <c r="AK226" s="13">
        <f t="shared" si="56"/>
        <v>0</v>
      </c>
      <c r="AL226" s="13">
        <f t="shared" si="57"/>
        <v>0</v>
      </c>
      <c r="AM226" s="13">
        <f t="shared" si="58"/>
        <v>121.33</v>
      </c>
      <c r="AN226" s="13">
        <f t="shared" si="59"/>
        <v>8.49</v>
      </c>
      <c r="AO226" s="13">
        <f t="shared" si="60"/>
        <v>3.64</v>
      </c>
      <c r="AP226" s="13">
        <f t="shared" si="61"/>
        <v>2.43</v>
      </c>
      <c r="AQ226" s="13" t="str">
        <f t="shared" si="62"/>
        <v>TJ202512171607000040197</v>
      </c>
      <c r="AR226" s="13">
        <f t="shared" si="63"/>
        <v>0.05</v>
      </c>
    </row>
    <row r="227" spans="1:44">
      <c r="A227" s="19" t="s">
        <v>405</v>
      </c>
      <c r="B227" s="12" t="s">
        <v>202</v>
      </c>
      <c r="C227" s="12" t="s">
        <v>54</v>
      </c>
      <c r="D227" s="12" t="s">
        <v>55</v>
      </c>
      <c r="E227" s="12" t="s">
        <v>51</v>
      </c>
      <c r="F227" s="5">
        <f>ROUND(SUMIF([1]开票!$A$2:$A$1750,[1]申请!AQ227,[1]开票!$C$2:$C$1750),2)</f>
        <v>36462.27</v>
      </c>
      <c r="G227" s="5">
        <f>ROUND(SUMIF([1]开票!$A$2:$A$1750,[1]申请!AQ227,[1]开票!$D$2:$D$1750),2)</f>
        <v>0</v>
      </c>
      <c r="H227" s="5">
        <f>ROUND(SUMIF([1]开票!$A$2:$A$1750,[1]申请!AQ227,[1]开票!$E$2:$E$1750),2)</f>
        <v>2187.73</v>
      </c>
      <c r="I227" s="5">
        <f t="shared" si="48"/>
        <v>38650</v>
      </c>
      <c r="J227" s="12"/>
      <c r="K227" s="12"/>
      <c r="L227" s="15">
        <v>38650</v>
      </c>
      <c r="M227" s="15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>
        <f t="shared" si="49"/>
        <v>38650</v>
      </c>
      <c r="AE227" s="13">
        <f t="shared" si="50"/>
        <v>0</v>
      </c>
      <c r="AF227" s="14">
        <f t="shared" si="51"/>
        <v>0</v>
      </c>
      <c r="AG227" s="13">
        <f t="shared" si="52"/>
        <v>2187.73</v>
      </c>
      <c r="AH227" s="13">
        <f t="shared" si="53"/>
        <v>153.14</v>
      </c>
      <c r="AI227" s="13">
        <f t="shared" si="54"/>
        <v>65.63</v>
      </c>
      <c r="AJ227" s="13">
        <f t="shared" si="55"/>
        <v>43.75</v>
      </c>
      <c r="AK227" s="13">
        <f t="shared" si="56"/>
        <v>0</v>
      </c>
      <c r="AL227" s="13">
        <f t="shared" si="57"/>
        <v>0</v>
      </c>
      <c r="AM227" s="13">
        <f t="shared" si="58"/>
        <v>2187.73</v>
      </c>
      <c r="AN227" s="13">
        <f t="shared" si="59"/>
        <v>153.14</v>
      </c>
      <c r="AO227" s="13">
        <f t="shared" si="60"/>
        <v>65.63</v>
      </c>
      <c r="AP227" s="13">
        <f t="shared" si="61"/>
        <v>43.75</v>
      </c>
      <c r="AQ227" s="13" t="str">
        <f t="shared" si="62"/>
        <v>TJ202512171628000539458</v>
      </c>
      <c r="AR227" s="13">
        <f t="shared" si="63"/>
        <v>0.06</v>
      </c>
    </row>
    <row r="228" spans="1:44">
      <c r="A228" s="33" t="s">
        <v>406</v>
      </c>
      <c r="B228" s="12" t="s">
        <v>293</v>
      </c>
      <c r="C228" s="12" t="s">
        <v>54</v>
      </c>
      <c r="D228" s="12" t="s">
        <v>55</v>
      </c>
      <c r="E228" s="12" t="s">
        <v>51</v>
      </c>
      <c r="F228" s="5">
        <f>ROUND(SUMIF([1]开票!$A$2:$A$1750,[1]申请!AQ228,[1]开票!$C$2:$C$1750),2)</f>
        <v>2580676.93</v>
      </c>
      <c r="G228" s="5">
        <f>ROUND(SUMIF([1]开票!$A$2:$A$1750,[1]申请!AQ228,[1]开票!$D$2:$D$1750),2)</f>
        <v>0</v>
      </c>
      <c r="H228" s="5">
        <f>ROUND(SUMIF([1]开票!$A$2:$A$1750,[1]申请!AQ228,[1]开票!$E$2:$E$1750),2)</f>
        <v>154840.62</v>
      </c>
      <c r="I228" s="5">
        <f t="shared" si="48"/>
        <v>2735517.55</v>
      </c>
      <c r="J228" s="12"/>
      <c r="K228" s="12"/>
      <c r="L228" s="15">
        <v>2735517.55</v>
      </c>
      <c r="M228" s="15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>
        <f t="shared" si="49"/>
        <v>2735517.55</v>
      </c>
      <c r="AE228" s="13">
        <f t="shared" si="50"/>
        <v>0</v>
      </c>
      <c r="AF228" s="14">
        <f t="shared" si="51"/>
        <v>0</v>
      </c>
      <c r="AG228" s="13">
        <f t="shared" si="52"/>
        <v>154840.62</v>
      </c>
      <c r="AH228" s="13">
        <f t="shared" si="53"/>
        <v>10838.84</v>
      </c>
      <c r="AI228" s="13">
        <f t="shared" si="54"/>
        <v>4645.22</v>
      </c>
      <c r="AJ228" s="13">
        <f t="shared" si="55"/>
        <v>3096.81</v>
      </c>
      <c r="AK228" s="13">
        <f t="shared" si="56"/>
        <v>0</v>
      </c>
      <c r="AL228" s="13">
        <f t="shared" si="57"/>
        <v>0</v>
      </c>
      <c r="AM228" s="13">
        <f t="shared" si="58"/>
        <v>154840.62</v>
      </c>
      <c r="AN228" s="13">
        <f t="shared" si="59"/>
        <v>10838.84</v>
      </c>
      <c r="AO228" s="13">
        <f t="shared" si="60"/>
        <v>4645.22</v>
      </c>
      <c r="AP228" s="13">
        <f t="shared" si="61"/>
        <v>3096.81</v>
      </c>
      <c r="AQ228" s="13" t="str">
        <f t="shared" si="62"/>
        <v>TJ202512171631000148037</v>
      </c>
      <c r="AR228" s="13">
        <f t="shared" si="63"/>
        <v>0.06</v>
      </c>
    </row>
    <row r="229" ht="15" spans="1:44">
      <c r="A229" s="31" t="s">
        <v>407</v>
      </c>
      <c r="B229" s="12" t="s">
        <v>297</v>
      </c>
      <c r="C229" s="12" t="s">
        <v>54</v>
      </c>
      <c r="D229" s="12" t="s">
        <v>47</v>
      </c>
      <c r="E229" s="12" t="s">
        <v>51</v>
      </c>
      <c r="F229" s="5">
        <f>ROUND(SUMIF([1]开票!$A$2:$A$1750,[1]申请!AQ229,[1]开票!$C$2:$C$1750),2)</f>
        <v>4777.95</v>
      </c>
      <c r="G229" s="5">
        <f>ROUND(SUMIF([1]开票!$A$2:$A$1750,[1]申请!AQ229,[1]开票!$D$2:$D$1750),2)</f>
        <v>0</v>
      </c>
      <c r="H229" s="5">
        <f>ROUND(SUMIF([1]开票!$A$2:$A$1750,[1]申请!AQ229,[1]开票!$E$2:$E$1750),2)</f>
        <v>286.68</v>
      </c>
      <c r="I229" s="5">
        <f t="shared" si="48"/>
        <v>5064.63</v>
      </c>
      <c r="J229" s="12">
        <v>0</v>
      </c>
      <c r="K229" s="32"/>
      <c r="L229" s="15"/>
      <c r="M229" s="15"/>
      <c r="N229" s="12"/>
      <c r="O229" s="12"/>
      <c r="P229" s="12"/>
      <c r="Q229" s="12"/>
      <c r="R229" s="12"/>
      <c r="S229" s="12">
        <v>5064.63</v>
      </c>
      <c r="T229" s="12">
        <v>0</v>
      </c>
      <c r="U229" s="20">
        <v>0</v>
      </c>
      <c r="V229" s="12">
        <v>0</v>
      </c>
      <c r="W229" s="12"/>
      <c r="X229" s="12">
        <v>0</v>
      </c>
      <c r="Y229" s="12">
        <v>0</v>
      </c>
      <c r="Z229" s="12"/>
      <c r="AA229" s="12"/>
      <c r="AB229" s="12"/>
      <c r="AC229" s="12"/>
      <c r="AD229" s="12">
        <f t="shared" si="49"/>
        <v>5064.63</v>
      </c>
      <c r="AE229" s="13">
        <f t="shared" si="50"/>
        <v>0</v>
      </c>
      <c r="AF229" s="14">
        <f t="shared" si="51"/>
        <v>0</v>
      </c>
      <c r="AG229" s="13">
        <f t="shared" si="52"/>
        <v>286.68</v>
      </c>
      <c r="AH229" s="13">
        <f t="shared" si="53"/>
        <v>20.07</v>
      </c>
      <c r="AI229" s="13">
        <f t="shared" si="54"/>
        <v>8.6</v>
      </c>
      <c r="AJ229" s="13">
        <f t="shared" si="55"/>
        <v>5.73</v>
      </c>
      <c r="AK229" s="13">
        <f t="shared" si="56"/>
        <v>0</v>
      </c>
      <c r="AL229" s="13">
        <f t="shared" si="57"/>
        <v>0</v>
      </c>
      <c r="AM229" s="13">
        <f t="shared" si="58"/>
        <v>286.68</v>
      </c>
      <c r="AN229" s="13">
        <f t="shared" si="59"/>
        <v>20.07</v>
      </c>
      <c r="AO229" s="13">
        <f t="shared" si="60"/>
        <v>8.6</v>
      </c>
      <c r="AP229" s="13">
        <f t="shared" si="61"/>
        <v>5.73</v>
      </c>
      <c r="AQ229" s="13" t="str">
        <f t="shared" si="62"/>
        <v>TJ202512171729000126067</v>
      </c>
      <c r="AR229" s="13">
        <f t="shared" si="63"/>
        <v>0.06</v>
      </c>
    </row>
    <row r="230" ht="15" spans="1:44">
      <c r="A230" s="31" t="s">
        <v>408</v>
      </c>
      <c r="B230" s="12" t="s">
        <v>409</v>
      </c>
      <c r="C230" s="12" t="s">
        <v>54</v>
      </c>
      <c r="D230" s="12" t="s">
        <v>55</v>
      </c>
      <c r="E230" s="12" t="s">
        <v>51</v>
      </c>
      <c r="F230" s="5">
        <f>ROUND(SUMIF([1]开票!$A$2:$A$1750,[1]申请!AQ230,[1]开票!$C$2:$C$1750),2)</f>
        <v>236778.86</v>
      </c>
      <c r="G230" s="5">
        <f>ROUND(SUMIF([1]开票!$A$2:$A$1750,[1]申请!AQ230,[1]开票!$D$2:$D$1750),2)</f>
        <v>0</v>
      </c>
      <c r="H230" s="5">
        <f>ROUND(SUMIF([1]开票!$A$2:$A$1750,[1]申请!AQ230,[1]开票!$E$2:$E$1750),2)</f>
        <v>14206.73</v>
      </c>
      <c r="I230" s="5">
        <f t="shared" si="48"/>
        <v>250985.59</v>
      </c>
      <c r="J230" s="12"/>
      <c r="K230" s="12"/>
      <c r="L230" s="20">
        <v>250985.59</v>
      </c>
      <c r="M230" s="34"/>
      <c r="N230" s="12"/>
      <c r="O230" s="12"/>
      <c r="P230" s="12"/>
      <c r="Q230" s="12"/>
      <c r="R230" s="12"/>
      <c r="S230" s="20"/>
      <c r="T230" s="20"/>
      <c r="U230" s="12"/>
      <c r="V230" s="12"/>
      <c r="W230" s="12"/>
      <c r="X230" s="12"/>
      <c r="Y230" s="12"/>
      <c r="Z230" s="12"/>
      <c r="AA230" s="12"/>
      <c r="AB230" s="12"/>
      <c r="AC230" s="12"/>
      <c r="AD230" s="12">
        <f t="shared" si="49"/>
        <v>250985.59</v>
      </c>
      <c r="AE230" s="13">
        <f t="shared" si="50"/>
        <v>0</v>
      </c>
      <c r="AF230" s="22">
        <f t="shared" si="51"/>
        <v>0</v>
      </c>
      <c r="AG230" s="13">
        <f t="shared" si="52"/>
        <v>14206.73</v>
      </c>
      <c r="AH230" s="13">
        <f t="shared" si="53"/>
        <v>994.47</v>
      </c>
      <c r="AI230" s="13">
        <f t="shared" si="54"/>
        <v>426.2</v>
      </c>
      <c r="AJ230" s="13">
        <f t="shared" si="55"/>
        <v>284.13</v>
      </c>
      <c r="AK230" s="13">
        <f t="shared" si="56"/>
        <v>0</v>
      </c>
      <c r="AL230" s="13">
        <f t="shared" si="57"/>
        <v>0</v>
      </c>
      <c r="AM230" s="13">
        <f t="shared" si="58"/>
        <v>14206.73</v>
      </c>
      <c r="AN230" s="13">
        <f t="shared" si="59"/>
        <v>994.47</v>
      </c>
      <c r="AO230" s="13">
        <f t="shared" si="60"/>
        <v>426.2</v>
      </c>
      <c r="AP230" s="13">
        <f t="shared" si="61"/>
        <v>284.13</v>
      </c>
      <c r="AQ230" s="13" t="str">
        <f t="shared" si="62"/>
        <v>TJ202512180922000167677</v>
      </c>
      <c r="AR230" s="13">
        <f t="shared" si="63"/>
        <v>0.06</v>
      </c>
    </row>
    <row r="231" ht="15" spans="1:44">
      <c r="A231" s="35" t="s">
        <v>410</v>
      </c>
      <c r="B231" s="12" t="s">
        <v>411</v>
      </c>
      <c r="C231" s="12" t="s">
        <v>54</v>
      </c>
      <c r="D231" s="12" t="s">
        <v>55</v>
      </c>
      <c r="E231" s="12" t="s">
        <v>51</v>
      </c>
      <c r="F231" s="5">
        <f>ROUND(SUMIF([1]开票!$A$2:$A$1750,[1]申请!AQ231,[1]开票!$C$2:$C$1750),2)</f>
        <v>5690.33</v>
      </c>
      <c r="G231" s="5">
        <f>ROUND(SUMIF([1]开票!$A$2:$A$1750,[1]申请!AQ231,[1]开票!$D$2:$D$1750),2)</f>
        <v>0</v>
      </c>
      <c r="H231" s="5">
        <f>ROUND(SUMIF([1]开票!$A$2:$A$1750,[1]申请!AQ231,[1]开票!$E$2:$E$1750),2)</f>
        <v>341.42</v>
      </c>
      <c r="I231" s="5">
        <f t="shared" si="48"/>
        <v>6031.75</v>
      </c>
      <c r="J231" s="12"/>
      <c r="K231" s="15"/>
      <c r="L231" s="12">
        <v>6031.75</v>
      </c>
      <c r="M231" s="12"/>
      <c r="N231" s="12"/>
      <c r="O231" s="12"/>
      <c r="P231" s="12"/>
      <c r="Q231" s="12"/>
      <c r="R231" s="12"/>
      <c r="S231" s="34"/>
      <c r="T231" s="34"/>
      <c r="U231" s="20"/>
      <c r="V231" s="15"/>
      <c r="W231" s="12"/>
      <c r="X231" s="12"/>
      <c r="Y231" s="12"/>
      <c r="Z231" s="12"/>
      <c r="AA231" s="12"/>
      <c r="AB231" s="12"/>
      <c r="AC231" s="12"/>
      <c r="AD231" s="12">
        <f t="shared" si="49"/>
        <v>6031.75</v>
      </c>
      <c r="AE231" s="13">
        <f t="shared" si="50"/>
        <v>0</v>
      </c>
      <c r="AF231" s="14">
        <f t="shared" si="51"/>
        <v>0</v>
      </c>
      <c r="AG231" s="13">
        <f t="shared" si="52"/>
        <v>341.42</v>
      </c>
      <c r="AH231" s="13">
        <f t="shared" si="53"/>
        <v>23.9</v>
      </c>
      <c r="AI231" s="13">
        <f t="shared" si="54"/>
        <v>10.24</v>
      </c>
      <c r="AJ231" s="13">
        <f t="shared" si="55"/>
        <v>6.83</v>
      </c>
      <c r="AK231" s="13">
        <f t="shared" si="56"/>
        <v>0</v>
      </c>
      <c r="AL231" s="13">
        <f t="shared" si="57"/>
        <v>0</v>
      </c>
      <c r="AM231" s="13">
        <f t="shared" si="58"/>
        <v>341.42</v>
      </c>
      <c r="AN231" s="13">
        <f t="shared" si="59"/>
        <v>23.9</v>
      </c>
      <c r="AO231" s="13">
        <f t="shared" si="60"/>
        <v>10.24</v>
      </c>
      <c r="AP231" s="13">
        <f t="shared" si="61"/>
        <v>6.83</v>
      </c>
      <c r="AQ231" s="13" t="str">
        <f t="shared" si="62"/>
        <v>TJ202512180926000426499</v>
      </c>
      <c r="AR231" s="13">
        <f t="shared" si="63"/>
        <v>0.06</v>
      </c>
    </row>
    <row r="232" ht="15" spans="1:44">
      <c r="A232" s="31" t="s">
        <v>412</v>
      </c>
      <c r="B232" s="12" t="s">
        <v>413</v>
      </c>
      <c r="C232" s="12" t="s">
        <v>46</v>
      </c>
      <c r="D232" s="12" t="s">
        <v>47</v>
      </c>
      <c r="E232" s="12" t="s">
        <v>48</v>
      </c>
      <c r="F232" s="5">
        <f>ROUND(SUMIF([1]开票!$A$2:$A$1750,[1]申请!AQ232,[1]开票!$C$2:$C$1750),2)</f>
        <v>5566.66</v>
      </c>
      <c r="G232" s="5">
        <f>ROUND(SUMIF([1]开票!$A$2:$A$1750,[1]申请!AQ232,[1]开票!$D$2:$D$1750),2)</f>
        <v>1187477.41</v>
      </c>
      <c r="H232" s="5">
        <f>ROUND(SUMIF([1]开票!$A$2:$A$1750,[1]申请!AQ232,[1]开票!$E$2:$E$1750),2)</f>
        <v>278.34</v>
      </c>
      <c r="I232" s="5">
        <f t="shared" si="48"/>
        <v>1193322.41</v>
      </c>
      <c r="J232" s="12">
        <v>5845</v>
      </c>
      <c r="K232" s="20"/>
      <c r="L232" s="12"/>
      <c r="M232" s="12"/>
      <c r="N232" s="12"/>
      <c r="O232" s="12"/>
      <c r="P232" s="12"/>
      <c r="Q232" s="12"/>
      <c r="R232" s="12"/>
      <c r="S232" s="34">
        <v>904038.54</v>
      </c>
      <c r="T232" s="12">
        <v>9107.94</v>
      </c>
      <c r="U232" s="20">
        <v>269319.77</v>
      </c>
      <c r="V232" s="20">
        <v>404</v>
      </c>
      <c r="W232" s="12"/>
      <c r="X232" s="12">
        <v>4607.16</v>
      </c>
      <c r="Y232" s="12"/>
      <c r="Z232" s="12"/>
      <c r="AA232" s="12"/>
      <c r="AB232" s="12"/>
      <c r="AC232" s="12"/>
      <c r="AD232" s="12">
        <f t="shared" si="49"/>
        <v>1193322.41</v>
      </c>
      <c r="AE232" s="13">
        <f t="shared" si="50"/>
        <v>0</v>
      </c>
      <c r="AF232" s="14">
        <f t="shared" si="51"/>
        <v>0</v>
      </c>
      <c r="AG232" s="13">
        <f t="shared" si="52"/>
        <v>278.34</v>
      </c>
      <c r="AH232" s="13">
        <f t="shared" si="53"/>
        <v>19.48</v>
      </c>
      <c r="AI232" s="13">
        <f t="shared" si="54"/>
        <v>8.35</v>
      </c>
      <c r="AJ232" s="13">
        <f t="shared" si="55"/>
        <v>5.57</v>
      </c>
      <c r="AK232" s="13">
        <f t="shared" si="56"/>
        <v>0</v>
      </c>
      <c r="AL232" s="13">
        <f t="shared" si="57"/>
        <v>0</v>
      </c>
      <c r="AM232" s="13">
        <f t="shared" si="58"/>
        <v>278.34</v>
      </c>
      <c r="AN232" s="13">
        <f t="shared" si="59"/>
        <v>19.48</v>
      </c>
      <c r="AO232" s="13">
        <f t="shared" si="60"/>
        <v>8.35</v>
      </c>
      <c r="AP232" s="13">
        <f t="shared" si="61"/>
        <v>5.57</v>
      </c>
      <c r="AQ232" s="13" t="str">
        <f t="shared" si="62"/>
        <v>TJ202512180947000060289</v>
      </c>
      <c r="AR232" s="13">
        <f t="shared" si="63"/>
        <v>0.05</v>
      </c>
    </row>
    <row r="233" ht="15" spans="1:44">
      <c r="A233" s="31" t="s">
        <v>414</v>
      </c>
      <c r="B233" s="12" t="s">
        <v>415</v>
      </c>
      <c r="C233" s="12" t="s">
        <v>46</v>
      </c>
      <c r="D233" s="12" t="s">
        <v>47</v>
      </c>
      <c r="E233" s="12" t="s">
        <v>48</v>
      </c>
      <c r="F233" s="5">
        <f>ROUND(SUMIF([1]开票!$A$2:$A$1750,[1]申请!AQ233,[1]开票!$C$2:$C$1750),2)</f>
        <v>285.71</v>
      </c>
      <c r="G233" s="5">
        <f>ROUND(SUMIF([1]开票!$A$2:$A$1750,[1]申请!AQ233,[1]开票!$D$2:$D$1750),2)</f>
        <v>107478.62</v>
      </c>
      <c r="H233" s="5">
        <f>ROUND(SUMIF([1]开票!$A$2:$A$1750,[1]申请!AQ233,[1]开票!$E$2:$E$1750),2)</f>
        <v>14.29</v>
      </c>
      <c r="I233" s="5">
        <f t="shared" si="48"/>
        <v>107778.62</v>
      </c>
      <c r="J233" s="12">
        <v>300</v>
      </c>
      <c r="K233" s="32"/>
      <c r="L233" s="12"/>
      <c r="M233" s="12"/>
      <c r="N233" s="12"/>
      <c r="O233" s="12"/>
      <c r="P233" s="12"/>
      <c r="Q233" s="12"/>
      <c r="R233" s="12"/>
      <c r="S233" s="20">
        <v>59643.11</v>
      </c>
      <c r="T233" s="20">
        <v>8501.41</v>
      </c>
      <c r="U233" s="34">
        <v>28253.74</v>
      </c>
      <c r="V233" s="12">
        <v>10240</v>
      </c>
      <c r="W233" s="12"/>
      <c r="X233" s="12">
        <v>840.36</v>
      </c>
      <c r="Y233" s="12"/>
      <c r="Z233" s="12"/>
      <c r="AA233" s="12"/>
      <c r="AB233" s="12"/>
      <c r="AC233" s="12"/>
      <c r="AD233" s="12">
        <f t="shared" si="49"/>
        <v>107778.62</v>
      </c>
      <c r="AE233" s="13">
        <f t="shared" si="50"/>
        <v>0</v>
      </c>
      <c r="AF233" s="14">
        <f t="shared" si="51"/>
        <v>0</v>
      </c>
      <c r="AG233" s="13">
        <f t="shared" si="52"/>
        <v>14.29</v>
      </c>
      <c r="AH233" s="13">
        <f t="shared" si="53"/>
        <v>1</v>
      </c>
      <c r="AI233" s="13">
        <f t="shared" si="54"/>
        <v>0.43</v>
      </c>
      <c r="AJ233" s="13">
        <f t="shared" si="55"/>
        <v>0.29</v>
      </c>
      <c r="AK233" s="13">
        <f t="shared" si="56"/>
        <v>0</v>
      </c>
      <c r="AL233" s="13">
        <f t="shared" si="57"/>
        <v>0</v>
      </c>
      <c r="AM233" s="13">
        <f t="shared" si="58"/>
        <v>14.29</v>
      </c>
      <c r="AN233" s="13">
        <f t="shared" si="59"/>
        <v>1</v>
      </c>
      <c r="AO233" s="13">
        <f t="shared" si="60"/>
        <v>0.43</v>
      </c>
      <c r="AP233" s="13">
        <f t="shared" si="61"/>
        <v>0.29</v>
      </c>
      <c r="AQ233" s="13" t="str">
        <f t="shared" si="62"/>
        <v>TJ202512181007000027140</v>
      </c>
      <c r="AR233" s="13">
        <f t="shared" si="63"/>
        <v>0.05</v>
      </c>
    </row>
    <row r="234" ht="15" spans="1:44">
      <c r="A234" s="31" t="s">
        <v>416</v>
      </c>
      <c r="B234" s="12" t="s">
        <v>417</v>
      </c>
      <c r="C234" s="12" t="s">
        <v>120</v>
      </c>
      <c r="D234" s="12" t="s">
        <v>121</v>
      </c>
      <c r="E234" s="12" t="s">
        <v>48</v>
      </c>
      <c r="F234" s="5">
        <f>ROUND(SUMIF([1]开票!$A$2:$A$1750,[1]申请!AQ234,[1]开票!$C$2:$C$1750),2)</f>
        <v>17142.86</v>
      </c>
      <c r="G234" s="5">
        <f>ROUND(SUMIF([1]开票!$A$2:$A$1750,[1]申请!AQ234,[1]开票!$D$2:$D$1750),2)</f>
        <v>655119.61</v>
      </c>
      <c r="H234" s="5">
        <f>ROUND(SUMIF([1]开票!$A$2:$A$1750,[1]申请!AQ234,[1]开票!$E$2:$E$1750),2)</f>
        <v>857.14</v>
      </c>
      <c r="I234" s="5">
        <f t="shared" si="48"/>
        <v>673119.61</v>
      </c>
      <c r="J234" s="12"/>
      <c r="K234" s="32">
        <v>18000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20">
        <v>494459.51</v>
      </c>
      <c r="V234" s="36">
        <v>155271.58</v>
      </c>
      <c r="W234" s="12"/>
      <c r="X234" s="12">
        <v>5388.52</v>
      </c>
      <c r="Y234" s="12"/>
      <c r="Z234" s="12"/>
      <c r="AA234" s="12"/>
      <c r="AB234" s="12"/>
      <c r="AC234" s="12"/>
      <c r="AD234" s="12">
        <f t="shared" si="49"/>
        <v>673119.61</v>
      </c>
      <c r="AE234" s="13">
        <f t="shared" si="50"/>
        <v>0</v>
      </c>
      <c r="AF234" s="14">
        <f t="shared" si="51"/>
        <v>0</v>
      </c>
      <c r="AG234" s="13">
        <f t="shared" si="52"/>
        <v>857.14</v>
      </c>
      <c r="AH234" s="13">
        <f t="shared" si="53"/>
        <v>60</v>
      </c>
      <c r="AI234" s="13">
        <f t="shared" si="54"/>
        <v>25.71</v>
      </c>
      <c r="AJ234" s="13">
        <f t="shared" si="55"/>
        <v>17.14</v>
      </c>
      <c r="AK234" s="13">
        <f t="shared" si="56"/>
        <v>0</v>
      </c>
      <c r="AL234" s="13">
        <f t="shared" si="57"/>
        <v>0</v>
      </c>
      <c r="AM234" s="13">
        <f t="shared" si="58"/>
        <v>857.14</v>
      </c>
      <c r="AN234" s="13">
        <f t="shared" si="59"/>
        <v>60</v>
      </c>
      <c r="AO234" s="13">
        <f t="shared" si="60"/>
        <v>25.71</v>
      </c>
      <c r="AP234" s="13">
        <f t="shared" si="61"/>
        <v>17.14</v>
      </c>
      <c r="AQ234" s="13" t="str">
        <f t="shared" si="62"/>
        <v>TJ202512181339000003228</v>
      </c>
      <c r="AR234" s="13">
        <f t="shared" si="63"/>
        <v>0.05</v>
      </c>
    </row>
    <row r="235" ht="15" spans="1:44">
      <c r="A235" s="31" t="s">
        <v>418</v>
      </c>
      <c r="B235" s="12" t="s">
        <v>417</v>
      </c>
      <c r="C235" s="12" t="s">
        <v>419</v>
      </c>
      <c r="D235" s="12" t="s">
        <v>121</v>
      </c>
      <c r="E235" s="12" t="s">
        <v>51</v>
      </c>
      <c r="F235" s="5">
        <f>ROUND(SUMIF([1]开票!$A$2:$A$1750,[1]申请!AQ235,[1]开票!$C$2:$C$1750),2)</f>
        <v>518.87</v>
      </c>
      <c r="G235" s="5">
        <f>ROUND(SUMIF([1]开票!$A$2:$A$1750,[1]申请!AQ235,[1]开票!$D$2:$D$1750),2)</f>
        <v>0</v>
      </c>
      <c r="H235" s="5">
        <f>ROUND(SUMIF([1]开票!$A$2:$A$1750,[1]申请!AQ235,[1]开票!$E$2:$E$1750),2)</f>
        <v>31.13</v>
      </c>
      <c r="I235" s="5">
        <f t="shared" si="48"/>
        <v>550</v>
      </c>
      <c r="J235" s="12"/>
      <c r="K235" s="32">
        <v>550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20"/>
      <c r="V235" s="12"/>
      <c r="W235" s="12"/>
      <c r="X235" s="12"/>
      <c r="Y235" s="12"/>
      <c r="Z235" s="12"/>
      <c r="AA235" s="12"/>
      <c r="AB235" s="12"/>
      <c r="AC235" s="12"/>
      <c r="AD235" s="12">
        <f t="shared" si="49"/>
        <v>550</v>
      </c>
      <c r="AE235" s="13">
        <f t="shared" si="50"/>
        <v>0</v>
      </c>
      <c r="AF235" s="14">
        <f t="shared" si="51"/>
        <v>0</v>
      </c>
      <c r="AG235" s="13">
        <f t="shared" si="52"/>
        <v>31.13</v>
      </c>
      <c r="AH235" s="13">
        <f t="shared" si="53"/>
        <v>2.18</v>
      </c>
      <c r="AI235" s="13">
        <f t="shared" si="54"/>
        <v>0.93</v>
      </c>
      <c r="AJ235" s="13">
        <f t="shared" si="55"/>
        <v>0.62</v>
      </c>
      <c r="AK235" s="13">
        <f t="shared" si="56"/>
        <v>0</v>
      </c>
      <c r="AL235" s="13">
        <f t="shared" si="57"/>
        <v>0</v>
      </c>
      <c r="AM235" s="13">
        <f t="shared" si="58"/>
        <v>31.13</v>
      </c>
      <c r="AN235" s="13">
        <f t="shared" si="59"/>
        <v>2.18</v>
      </c>
      <c r="AO235" s="13">
        <f t="shared" si="60"/>
        <v>0.93</v>
      </c>
      <c r="AP235" s="13">
        <f t="shared" si="61"/>
        <v>0.62</v>
      </c>
      <c r="AQ235" s="13" t="str">
        <f t="shared" si="62"/>
        <v>TJ202512181340000158950</v>
      </c>
      <c r="AR235" s="13">
        <f t="shared" si="63"/>
        <v>0.06</v>
      </c>
    </row>
    <row r="236" ht="15" spans="1:44">
      <c r="A236" s="31" t="s">
        <v>420</v>
      </c>
      <c r="B236" s="12" t="s">
        <v>417</v>
      </c>
      <c r="C236" s="12" t="s">
        <v>120</v>
      </c>
      <c r="D236" s="12" t="s">
        <v>121</v>
      </c>
      <c r="E236" s="12" t="s">
        <v>268</v>
      </c>
      <c r="F236" s="5">
        <f>ROUND(SUMIF([1]开票!$A$2:$A$1750,[1]申请!AQ236,[1]开票!$C$2:$C$1750),2)</f>
        <v>0</v>
      </c>
      <c r="G236" s="5">
        <f>ROUND(SUMIF([1]开票!$A$2:$A$1750,[1]申请!AQ236,[1]开票!$D$2:$D$1750),2)</f>
        <v>1821546.35</v>
      </c>
      <c r="H236" s="5">
        <f>ROUND(SUMIF([1]开票!$A$2:$A$1750,[1]申请!AQ236,[1]开票!$E$2:$E$1750),2)</f>
        <v>0</v>
      </c>
      <c r="I236" s="5">
        <f t="shared" si="48"/>
        <v>1821546.35</v>
      </c>
      <c r="J236" s="12"/>
      <c r="K236" s="32"/>
      <c r="L236" s="12"/>
      <c r="M236" s="12"/>
      <c r="N236" s="12"/>
      <c r="O236" s="12"/>
      <c r="P236" s="12"/>
      <c r="Q236" s="12"/>
      <c r="R236" s="12"/>
      <c r="S236" s="12">
        <v>1769945.92</v>
      </c>
      <c r="T236" s="12">
        <v>51600.43</v>
      </c>
      <c r="U236" s="20"/>
      <c r="V236" s="12"/>
      <c r="W236" s="12"/>
      <c r="X236" s="12"/>
      <c r="Y236" s="12"/>
      <c r="Z236" s="12"/>
      <c r="AA236" s="12"/>
      <c r="AB236" s="12"/>
      <c r="AC236" s="12"/>
      <c r="AD236" s="12">
        <f t="shared" si="49"/>
        <v>1821546.35</v>
      </c>
      <c r="AE236" s="13">
        <f t="shared" si="50"/>
        <v>0</v>
      </c>
      <c r="AF236" s="14">
        <f t="shared" si="51"/>
        <v>0</v>
      </c>
      <c r="AG236" s="13">
        <f t="shared" si="52"/>
        <v>0</v>
      </c>
      <c r="AH236" s="13">
        <f t="shared" si="53"/>
        <v>0</v>
      </c>
      <c r="AI236" s="13">
        <f t="shared" si="54"/>
        <v>0</v>
      </c>
      <c r="AJ236" s="13">
        <f t="shared" si="55"/>
        <v>0</v>
      </c>
      <c r="AK236" s="13">
        <f t="shared" si="56"/>
        <v>0</v>
      </c>
      <c r="AL236" s="13">
        <f t="shared" si="57"/>
        <v>0</v>
      </c>
      <c r="AM236" s="13">
        <f t="shared" si="58"/>
        <v>0</v>
      </c>
      <c r="AN236" s="13">
        <f t="shared" si="59"/>
        <v>0</v>
      </c>
      <c r="AO236" s="13">
        <f t="shared" si="60"/>
        <v>0</v>
      </c>
      <c r="AP236" s="13">
        <f t="shared" si="61"/>
        <v>0</v>
      </c>
      <c r="AQ236" s="13" t="str">
        <f t="shared" si="62"/>
        <v>TJ202512181341000522147</v>
      </c>
      <c r="AR236" s="13">
        <f t="shared" si="63"/>
        <v>0</v>
      </c>
    </row>
    <row r="237" ht="15" spans="1:44">
      <c r="A237" s="31" t="s">
        <v>421</v>
      </c>
      <c r="B237" s="12" t="s">
        <v>57</v>
      </c>
      <c r="C237" s="12" t="s">
        <v>54</v>
      </c>
      <c r="D237" s="12" t="s">
        <v>55</v>
      </c>
      <c r="E237" s="12" t="s">
        <v>51</v>
      </c>
      <c r="F237" s="5">
        <f>ROUND(SUMIF([1]开票!$A$2:$A$1750,[1]申请!AQ237,[1]开票!$C$2:$C$1750),2)</f>
        <v>525689.14</v>
      </c>
      <c r="G237" s="5">
        <f>ROUND(SUMIF([1]开票!$A$2:$A$1750,[1]申请!AQ237,[1]开票!$D$2:$D$1750),2)</f>
        <v>0</v>
      </c>
      <c r="H237" s="5">
        <f>ROUND(SUMIF([1]开票!$A$2:$A$1750,[1]申请!AQ237,[1]开票!$E$2:$E$1750),2)</f>
        <v>31541.35</v>
      </c>
      <c r="I237" s="5">
        <f t="shared" si="48"/>
        <v>557230.49</v>
      </c>
      <c r="J237" s="32">
        <v>557230.49</v>
      </c>
      <c r="K237" s="12"/>
      <c r="L237" s="12"/>
      <c r="M237" s="12"/>
      <c r="N237" s="12"/>
      <c r="O237" s="12"/>
      <c r="P237" s="12"/>
      <c r="Q237" s="12"/>
      <c r="R237" s="12"/>
      <c r="S237" s="20"/>
      <c r="T237" s="12"/>
      <c r="U237" s="32"/>
      <c r="V237" s="12"/>
      <c r="W237" s="12"/>
      <c r="X237" s="32"/>
      <c r="Y237" s="12"/>
      <c r="Z237" s="12"/>
      <c r="AA237" s="12"/>
      <c r="AB237" s="12"/>
      <c r="AC237" s="12"/>
      <c r="AD237" s="12">
        <f t="shared" si="49"/>
        <v>557230.49</v>
      </c>
      <c r="AE237" s="13">
        <f t="shared" si="50"/>
        <v>0</v>
      </c>
      <c r="AF237" s="14">
        <f t="shared" si="51"/>
        <v>0</v>
      </c>
      <c r="AG237" s="13">
        <f t="shared" si="52"/>
        <v>31541.35</v>
      </c>
      <c r="AH237" s="13">
        <f t="shared" si="53"/>
        <v>2207.89</v>
      </c>
      <c r="AI237" s="13">
        <f t="shared" si="54"/>
        <v>946.24</v>
      </c>
      <c r="AJ237" s="13">
        <f t="shared" si="55"/>
        <v>630.83</v>
      </c>
      <c r="AK237" s="13">
        <f t="shared" si="56"/>
        <v>0</v>
      </c>
      <c r="AL237" s="13">
        <f t="shared" si="57"/>
        <v>0</v>
      </c>
      <c r="AM237" s="13">
        <f t="shared" si="58"/>
        <v>31541.35</v>
      </c>
      <c r="AN237" s="13">
        <f t="shared" si="59"/>
        <v>2207.89</v>
      </c>
      <c r="AO237" s="13">
        <f t="shared" si="60"/>
        <v>946.24</v>
      </c>
      <c r="AP237" s="13">
        <f t="shared" si="61"/>
        <v>630.83</v>
      </c>
      <c r="AQ237" s="13" t="str">
        <f t="shared" si="62"/>
        <v>TJ202512181350000582273</v>
      </c>
      <c r="AR237" s="13">
        <f t="shared" si="63"/>
        <v>0.06</v>
      </c>
    </row>
    <row r="238" ht="15" spans="1:44">
      <c r="A238" s="15" t="s">
        <v>422</v>
      </c>
      <c r="B238" s="12" t="s">
        <v>423</v>
      </c>
      <c r="C238" s="12" t="s">
        <v>46</v>
      </c>
      <c r="D238" s="12" t="s">
        <v>47</v>
      </c>
      <c r="E238" s="12" t="s">
        <v>77</v>
      </c>
      <c r="F238" s="5">
        <f>ROUND(SUMIF([1]开票!$A$2:$A$1750,[1]申请!AQ238,[1]开票!$C$2:$C$1750),2)</f>
        <v>10438.1</v>
      </c>
      <c r="G238" s="5">
        <f>ROUND(SUMIF([1]开票!$A$2:$A$1750,[1]申请!AQ238,[1]开票!$D$2:$D$1750),2)</f>
        <v>977802.82</v>
      </c>
      <c r="H238" s="5">
        <f>ROUND(SUMIF([1]开票!$A$2:$A$1750,[1]申请!AQ238,[1]开票!$E$2:$E$1750),2)</f>
        <v>521.9</v>
      </c>
      <c r="I238" s="5">
        <f t="shared" si="48"/>
        <v>988762.82</v>
      </c>
      <c r="J238" s="12">
        <v>10960</v>
      </c>
      <c r="K238" s="12"/>
      <c r="L238" s="12"/>
      <c r="M238" s="12"/>
      <c r="N238" s="12"/>
      <c r="O238" s="12"/>
      <c r="P238" s="12"/>
      <c r="Q238" s="12"/>
      <c r="R238" s="12"/>
      <c r="S238" s="12">
        <v>738776.85</v>
      </c>
      <c r="T238" s="12">
        <v>8317.18</v>
      </c>
      <c r="U238" s="32">
        <v>197827.09</v>
      </c>
      <c r="V238" s="12">
        <v>32881.7</v>
      </c>
      <c r="W238" s="32"/>
      <c r="X238" s="12"/>
      <c r="Y238" s="12"/>
      <c r="Z238" s="12"/>
      <c r="AA238" s="12"/>
      <c r="AB238" s="12"/>
      <c r="AC238" s="12"/>
      <c r="AD238" s="12">
        <f t="shared" si="49"/>
        <v>988762.82</v>
      </c>
      <c r="AE238" s="13">
        <f t="shared" si="50"/>
        <v>0</v>
      </c>
      <c r="AF238" s="22">
        <f t="shared" si="51"/>
        <v>0</v>
      </c>
      <c r="AG238" s="13">
        <f t="shared" si="52"/>
        <v>521.9</v>
      </c>
      <c r="AH238" s="13">
        <f t="shared" si="53"/>
        <v>36.53</v>
      </c>
      <c r="AI238" s="13">
        <f t="shared" si="54"/>
        <v>15.66</v>
      </c>
      <c r="AJ238" s="13">
        <f t="shared" si="55"/>
        <v>10.44</v>
      </c>
      <c r="AK238" s="13">
        <f t="shared" si="56"/>
        <v>0</v>
      </c>
      <c r="AL238" s="13">
        <f t="shared" si="57"/>
        <v>0</v>
      </c>
      <c r="AM238" s="13">
        <f t="shared" si="58"/>
        <v>521.9</v>
      </c>
      <c r="AN238" s="13">
        <f t="shared" si="59"/>
        <v>36.53</v>
      </c>
      <c r="AO238" s="13">
        <f t="shared" si="60"/>
        <v>15.66</v>
      </c>
      <c r="AP238" s="13">
        <f t="shared" si="61"/>
        <v>10.44</v>
      </c>
      <c r="AQ238" s="13" t="str">
        <f t="shared" si="62"/>
        <v>TJ202512181356000060298</v>
      </c>
      <c r="AR238" s="13">
        <f t="shared" si="63"/>
        <v>0.05</v>
      </c>
    </row>
    <row r="239" ht="15" spans="1:44">
      <c r="A239" s="15" t="s">
        <v>424</v>
      </c>
      <c r="B239" s="12" t="s">
        <v>425</v>
      </c>
      <c r="C239" s="12" t="s">
        <v>54</v>
      </c>
      <c r="D239" s="12" t="s">
        <v>47</v>
      </c>
      <c r="E239" s="12" t="s">
        <v>51</v>
      </c>
      <c r="F239" s="5">
        <f>ROUND(SUMIF([1]开票!$A$2:$A$1750,[1]申请!AQ239,[1]开票!$C$2:$C$1750),2)</f>
        <v>370686.54</v>
      </c>
      <c r="G239" s="5">
        <f>ROUND(SUMIF([1]开票!$A$2:$A$1750,[1]申请!AQ239,[1]开票!$D$2:$D$1750),2)</f>
        <v>0</v>
      </c>
      <c r="H239" s="5">
        <f>ROUND(SUMIF([1]开票!$A$2:$A$1750,[1]申请!AQ239,[1]开票!$E$2:$E$1750),2)</f>
        <v>22241.2</v>
      </c>
      <c r="I239" s="5">
        <f t="shared" si="48"/>
        <v>392927.74</v>
      </c>
      <c r="J239" s="12"/>
      <c r="K239" s="32"/>
      <c r="L239" s="12">
        <v>1080</v>
      </c>
      <c r="M239" s="12"/>
      <c r="N239" s="12"/>
      <c r="O239" s="12"/>
      <c r="P239" s="12"/>
      <c r="Q239" s="12"/>
      <c r="R239" s="12"/>
      <c r="S239" s="20">
        <v>200233.33</v>
      </c>
      <c r="T239" s="20">
        <v>3272.72</v>
      </c>
      <c r="U239" s="20">
        <v>102642.62</v>
      </c>
      <c r="V239" s="20">
        <v>60957</v>
      </c>
      <c r="W239" s="12"/>
      <c r="X239" s="20"/>
      <c r="Y239" s="12">
        <v>24742.07</v>
      </c>
      <c r="Z239" s="12"/>
      <c r="AA239" s="12"/>
      <c r="AB239" s="12"/>
      <c r="AC239" s="12"/>
      <c r="AD239" s="12">
        <f t="shared" si="49"/>
        <v>392927.74</v>
      </c>
      <c r="AE239" s="13">
        <f t="shared" si="50"/>
        <v>0</v>
      </c>
      <c r="AF239" s="14">
        <f t="shared" si="51"/>
        <v>0</v>
      </c>
      <c r="AG239" s="13">
        <f t="shared" si="52"/>
        <v>22241.2</v>
      </c>
      <c r="AH239" s="13">
        <f t="shared" si="53"/>
        <v>1556.88</v>
      </c>
      <c r="AI239" s="13">
        <f t="shared" si="54"/>
        <v>667.24</v>
      </c>
      <c r="AJ239" s="13">
        <f t="shared" si="55"/>
        <v>444.82</v>
      </c>
      <c r="AK239" s="13">
        <f t="shared" si="56"/>
        <v>22091.1339285714</v>
      </c>
      <c r="AL239" s="13">
        <f t="shared" si="57"/>
        <v>2650.94</v>
      </c>
      <c r="AM239" s="13">
        <f t="shared" si="58"/>
        <v>150.07</v>
      </c>
      <c r="AN239" s="13">
        <f t="shared" si="59"/>
        <v>10.5</v>
      </c>
      <c r="AO239" s="13">
        <f t="shared" si="60"/>
        <v>4.5</v>
      </c>
      <c r="AP239" s="13">
        <f t="shared" si="61"/>
        <v>3</v>
      </c>
      <c r="AQ239" s="13" t="str">
        <f t="shared" si="62"/>
        <v>TJ202512181612000361464</v>
      </c>
      <c r="AR239" s="13">
        <f t="shared" si="63"/>
        <v>0.06</v>
      </c>
    </row>
    <row r="240" spans="1:44">
      <c r="A240" s="35" t="s">
        <v>426</v>
      </c>
      <c r="B240" s="12" t="s">
        <v>425</v>
      </c>
      <c r="C240" s="12" t="s">
        <v>54</v>
      </c>
      <c r="D240" s="12" t="s">
        <v>47</v>
      </c>
      <c r="E240" s="12" t="s">
        <v>109</v>
      </c>
      <c r="F240" s="5">
        <f>ROUND(SUMIF([1]开票!$A$2:$A$1750,[1]申请!AQ240,[1]开票!$C$2:$C$1750),2)</f>
        <v>313318.29</v>
      </c>
      <c r="G240" s="5">
        <f>ROUND(SUMIF([1]开票!$A$2:$A$1750,[1]申请!AQ240,[1]开票!$D$2:$D$1750),2)</f>
        <v>0</v>
      </c>
      <c r="H240" s="5">
        <f>ROUND(SUMIF([1]开票!$A$2:$A$1750,[1]申请!AQ240,[1]开票!$E$2:$E$1750),2)</f>
        <v>18799.1</v>
      </c>
      <c r="I240" s="5">
        <f t="shared" si="48"/>
        <v>332117.39</v>
      </c>
      <c r="J240" s="12"/>
      <c r="K240" s="12"/>
      <c r="L240" s="12">
        <v>1305</v>
      </c>
      <c r="M240" s="12"/>
      <c r="N240" s="12"/>
      <c r="O240" s="12"/>
      <c r="P240" s="12"/>
      <c r="Q240" s="12"/>
      <c r="R240" s="12"/>
      <c r="S240" s="12">
        <v>165524.99</v>
      </c>
      <c r="T240" s="12">
        <v>3712</v>
      </c>
      <c r="U240" s="12">
        <v>92532.46</v>
      </c>
      <c r="V240" s="12">
        <v>48130</v>
      </c>
      <c r="W240" s="12"/>
      <c r="X240" s="12"/>
      <c r="Y240" s="12">
        <v>20912.94</v>
      </c>
      <c r="Z240" s="12"/>
      <c r="AA240" s="12"/>
      <c r="AB240" s="12"/>
      <c r="AC240" s="12"/>
      <c r="AD240" s="12">
        <f t="shared" si="49"/>
        <v>332117.39</v>
      </c>
      <c r="AE240" s="13">
        <f t="shared" si="50"/>
        <v>0</v>
      </c>
      <c r="AF240" s="14">
        <f t="shared" si="51"/>
        <v>0</v>
      </c>
      <c r="AG240" s="13">
        <f t="shared" si="52"/>
        <v>18799.1</v>
      </c>
      <c r="AH240" s="13">
        <f t="shared" si="53"/>
        <v>1315.94</v>
      </c>
      <c r="AI240" s="13">
        <f t="shared" si="54"/>
        <v>563.97</v>
      </c>
      <c r="AJ240" s="13">
        <f t="shared" si="55"/>
        <v>375.98</v>
      </c>
      <c r="AK240" s="13">
        <f t="shared" si="56"/>
        <v>18672.2678571429</v>
      </c>
      <c r="AL240" s="13">
        <f t="shared" si="57"/>
        <v>2240.67</v>
      </c>
      <c r="AM240" s="13">
        <f t="shared" si="58"/>
        <v>126.83</v>
      </c>
      <c r="AN240" s="13">
        <f t="shared" si="59"/>
        <v>8.88</v>
      </c>
      <c r="AO240" s="13">
        <f t="shared" si="60"/>
        <v>3.8</v>
      </c>
      <c r="AP240" s="13">
        <f t="shared" si="61"/>
        <v>2.54</v>
      </c>
      <c r="AQ240" s="13" t="str">
        <f t="shared" si="62"/>
        <v>TJ202512181621000513716</v>
      </c>
      <c r="AR240" s="13">
        <f t="shared" si="63"/>
        <v>0.06</v>
      </c>
    </row>
    <row r="241" spans="1:44">
      <c r="A241" s="35" t="s">
        <v>427</v>
      </c>
      <c r="B241" s="12" t="s">
        <v>293</v>
      </c>
      <c r="C241" s="12" t="s">
        <v>54</v>
      </c>
      <c r="D241" s="12" t="s">
        <v>55</v>
      </c>
      <c r="E241" s="12" t="s">
        <v>51</v>
      </c>
      <c r="F241" s="5">
        <f>ROUND(SUMIF([1]开票!$A$2:$A$1750,[1]申请!AQ241,[1]开票!$C$2:$C$1750),2)</f>
        <v>2222727.28</v>
      </c>
      <c r="G241" s="5">
        <f>ROUND(SUMIF([1]开票!$A$2:$A$1750,[1]申请!AQ241,[1]开票!$D$2:$D$1750),2)</f>
        <v>0</v>
      </c>
      <c r="H241" s="5">
        <f>ROUND(SUMIF([1]开票!$A$2:$A$1750,[1]申请!AQ241,[1]开票!$E$2:$E$1750),2)</f>
        <v>133363.65</v>
      </c>
      <c r="I241" s="5">
        <f t="shared" si="48"/>
        <v>2356090.93</v>
      </c>
      <c r="J241" s="12"/>
      <c r="K241" s="12"/>
      <c r="L241" s="12">
        <v>2356090.93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>
        <f t="shared" si="49"/>
        <v>2356090.93</v>
      </c>
      <c r="AE241" s="13">
        <f t="shared" si="50"/>
        <v>0</v>
      </c>
      <c r="AF241" s="14">
        <f t="shared" si="51"/>
        <v>0</v>
      </c>
      <c r="AG241" s="13">
        <f t="shared" si="52"/>
        <v>133363.65</v>
      </c>
      <c r="AH241" s="13">
        <f t="shared" si="53"/>
        <v>9335.46</v>
      </c>
      <c r="AI241" s="13">
        <f t="shared" si="54"/>
        <v>4000.91</v>
      </c>
      <c r="AJ241" s="13">
        <f t="shared" si="55"/>
        <v>2667.27</v>
      </c>
      <c r="AK241" s="13">
        <f t="shared" si="56"/>
        <v>0</v>
      </c>
      <c r="AL241" s="13">
        <f t="shared" si="57"/>
        <v>0</v>
      </c>
      <c r="AM241" s="13">
        <f t="shared" si="58"/>
        <v>133363.65</v>
      </c>
      <c r="AN241" s="13">
        <f t="shared" si="59"/>
        <v>9335.46</v>
      </c>
      <c r="AO241" s="13">
        <f t="shared" si="60"/>
        <v>4000.91</v>
      </c>
      <c r="AP241" s="13">
        <f t="shared" si="61"/>
        <v>2667.27</v>
      </c>
      <c r="AQ241" s="13" t="str">
        <f t="shared" si="62"/>
        <v>TJ202512181633000314046</v>
      </c>
      <c r="AR241" s="13">
        <f t="shared" si="63"/>
        <v>0.06</v>
      </c>
    </row>
    <row r="242" spans="1:44">
      <c r="A242" s="35" t="s">
        <v>428</v>
      </c>
      <c r="B242" s="12" t="s">
        <v>247</v>
      </c>
      <c r="C242" s="12" t="s">
        <v>54</v>
      </c>
      <c r="D242" s="12" t="s">
        <v>47</v>
      </c>
      <c r="E242" s="12" t="s">
        <v>51</v>
      </c>
      <c r="F242" s="5">
        <f>ROUND(SUMIF([1]开票!$A$2:$A$1750,[1]申请!AQ242,[1]开票!$C$2:$C$1750),2)</f>
        <v>9841.71</v>
      </c>
      <c r="G242" s="5">
        <f>ROUND(SUMIF([1]开票!$A$2:$A$1750,[1]申请!AQ242,[1]开票!$D$2:$D$1750),2)</f>
        <v>0</v>
      </c>
      <c r="H242" s="5">
        <f>ROUND(SUMIF([1]开票!$A$2:$A$1750,[1]申请!AQ242,[1]开票!$E$2:$E$1750),2)</f>
        <v>590.5</v>
      </c>
      <c r="I242" s="5">
        <f t="shared" si="48"/>
        <v>10432.21</v>
      </c>
      <c r="J242" s="12">
        <v>210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>
        <v>8071.88</v>
      </c>
      <c r="V242" s="12">
        <v>1292</v>
      </c>
      <c r="W242" s="12"/>
      <c r="X242" s="12">
        <v>201.42</v>
      </c>
      <c r="Y242" s="12">
        <v>656.91</v>
      </c>
      <c r="Z242" s="12"/>
      <c r="AA242" s="12"/>
      <c r="AB242" s="12"/>
      <c r="AC242" s="12"/>
      <c r="AD242" s="12">
        <f t="shared" si="49"/>
        <v>10432.21</v>
      </c>
      <c r="AE242" s="13">
        <f t="shared" si="50"/>
        <v>0</v>
      </c>
      <c r="AF242" s="14">
        <f t="shared" si="51"/>
        <v>0</v>
      </c>
      <c r="AG242" s="13">
        <f t="shared" si="52"/>
        <v>590.5</v>
      </c>
      <c r="AH242" s="13">
        <f t="shared" si="53"/>
        <v>41.34</v>
      </c>
      <c r="AI242" s="13">
        <f t="shared" si="54"/>
        <v>17.72</v>
      </c>
      <c r="AJ242" s="13">
        <f t="shared" si="55"/>
        <v>11.81</v>
      </c>
      <c r="AK242" s="13">
        <f t="shared" si="56"/>
        <v>586.526785714286</v>
      </c>
      <c r="AL242" s="13">
        <f t="shared" si="57"/>
        <v>70.38</v>
      </c>
      <c r="AM242" s="13">
        <f t="shared" si="58"/>
        <v>3.97</v>
      </c>
      <c r="AN242" s="13">
        <f t="shared" si="59"/>
        <v>0.28</v>
      </c>
      <c r="AO242" s="13">
        <f t="shared" si="60"/>
        <v>0.12</v>
      </c>
      <c r="AP242" s="13">
        <f t="shared" si="61"/>
        <v>0.09</v>
      </c>
      <c r="AQ242" s="13" t="str">
        <f t="shared" si="62"/>
        <v>TJ202512181643000520114</v>
      </c>
      <c r="AR242" s="13">
        <f t="shared" si="63"/>
        <v>0.06</v>
      </c>
    </row>
    <row r="243" ht="15" spans="1:44">
      <c r="A243" s="31" t="s">
        <v>429</v>
      </c>
      <c r="B243" s="12" t="s">
        <v>430</v>
      </c>
      <c r="C243" s="12" t="s">
        <v>46</v>
      </c>
      <c r="D243" s="12" t="s">
        <v>47</v>
      </c>
      <c r="E243" s="12" t="s">
        <v>48</v>
      </c>
      <c r="F243" s="5">
        <f>ROUND(SUMIF([1]开票!$A$2:$A$1750,[1]申请!AQ243,[1]开票!$C$2:$C$1750),2)</f>
        <v>190.48</v>
      </c>
      <c r="G243" s="5">
        <f>ROUND(SUMIF([1]开票!$A$2:$A$1750,[1]申请!AQ243,[1]开票!$D$2:$D$1750),2)</f>
        <v>20298</v>
      </c>
      <c r="H243" s="5">
        <f>ROUND(SUMIF([1]开票!$A$2:$A$1750,[1]申请!AQ243,[1]开票!$E$2:$E$1750),2)</f>
        <v>9.52</v>
      </c>
      <c r="I243" s="5">
        <f t="shared" si="48"/>
        <v>20498</v>
      </c>
      <c r="J243" s="12"/>
      <c r="K243" s="32"/>
      <c r="L243" s="15">
        <v>200</v>
      </c>
      <c r="M243" s="37"/>
      <c r="N243" s="12"/>
      <c r="O243" s="12"/>
      <c r="P243" s="12"/>
      <c r="Q243" s="12"/>
      <c r="R243" s="12"/>
      <c r="S243" s="20">
        <v>12008.25</v>
      </c>
      <c r="T243" s="20">
        <v>216.75</v>
      </c>
      <c r="U243" s="38">
        <v>5448</v>
      </c>
      <c r="V243" s="12">
        <v>2400</v>
      </c>
      <c r="W243" s="12"/>
      <c r="X243" s="12">
        <v>225</v>
      </c>
      <c r="Y243" s="12"/>
      <c r="Z243" s="23"/>
      <c r="AA243" s="39"/>
      <c r="AB243" s="12"/>
      <c r="AC243" s="12"/>
      <c r="AD243" s="12">
        <f t="shared" si="49"/>
        <v>20498</v>
      </c>
      <c r="AE243" s="13">
        <f t="shared" si="50"/>
        <v>0</v>
      </c>
      <c r="AF243" s="22">
        <f t="shared" si="51"/>
        <v>0</v>
      </c>
      <c r="AG243" s="21">
        <f t="shared" si="52"/>
        <v>9.52</v>
      </c>
      <c r="AH243" s="21">
        <f t="shared" si="53"/>
        <v>0.67</v>
      </c>
      <c r="AI243" s="21">
        <f t="shared" si="54"/>
        <v>0.29</v>
      </c>
      <c r="AJ243" s="21">
        <f t="shared" si="55"/>
        <v>0.19</v>
      </c>
      <c r="AK243" s="21">
        <f t="shared" si="56"/>
        <v>0</v>
      </c>
      <c r="AL243" s="21">
        <f t="shared" si="57"/>
        <v>0</v>
      </c>
      <c r="AM243" s="21">
        <f t="shared" si="58"/>
        <v>9.52</v>
      </c>
      <c r="AN243" s="21">
        <f t="shared" si="59"/>
        <v>0.67</v>
      </c>
      <c r="AO243" s="21">
        <f t="shared" si="60"/>
        <v>0.29</v>
      </c>
      <c r="AP243" s="21">
        <f t="shared" si="61"/>
        <v>0.19</v>
      </c>
      <c r="AQ243" s="21" t="str">
        <f t="shared" si="62"/>
        <v>TJ202512181651000302089</v>
      </c>
      <c r="AR243" s="21">
        <f t="shared" si="63"/>
        <v>0.05</v>
      </c>
    </row>
    <row r="244" ht="15" spans="1:44">
      <c r="A244" s="31" t="s">
        <v>431</v>
      </c>
      <c r="B244" s="12" t="s">
        <v>432</v>
      </c>
      <c r="C244" s="12" t="s">
        <v>46</v>
      </c>
      <c r="D244" s="12" t="s">
        <v>47</v>
      </c>
      <c r="E244" s="12" t="s">
        <v>48</v>
      </c>
      <c r="F244" s="5">
        <f>ROUND(SUMIF([1]开票!$A$2:$A$1750,[1]申请!AQ244,[1]开票!$C$2:$C$1750),2)</f>
        <v>2240</v>
      </c>
      <c r="G244" s="5">
        <f>ROUND(SUMIF([1]开票!$A$2:$A$1750,[1]申请!AQ244,[1]开票!$D$2:$D$1750),2)</f>
        <v>451698.06</v>
      </c>
      <c r="H244" s="5">
        <f>ROUND(SUMIF([1]开票!$A$2:$A$1750,[1]申请!AQ244,[1]开票!$E$2:$E$1750),2)</f>
        <v>112</v>
      </c>
      <c r="I244" s="5">
        <f t="shared" si="48"/>
        <v>454050.06</v>
      </c>
      <c r="J244" s="12">
        <v>2352</v>
      </c>
      <c r="K244" s="32"/>
      <c r="L244" s="12"/>
      <c r="M244" s="12"/>
      <c r="N244" s="12"/>
      <c r="O244" s="12"/>
      <c r="P244" s="12"/>
      <c r="Q244" s="12"/>
      <c r="R244" s="12"/>
      <c r="S244" s="20">
        <v>274569.44</v>
      </c>
      <c r="T244" s="20">
        <v>1100.72</v>
      </c>
      <c r="U244" s="16">
        <v>129881.07</v>
      </c>
      <c r="V244" s="12">
        <v>39430</v>
      </c>
      <c r="W244" s="12"/>
      <c r="X244" s="12"/>
      <c r="Y244" s="12"/>
      <c r="Z244" s="12"/>
      <c r="AA244" s="12">
        <v>6716.83</v>
      </c>
      <c r="AB244" s="12"/>
      <c r="AC244" s="12"/>
      <c r="AD244" s="12">
        <f t="shared" si="49"/>
        <v>454050.06</v>
      </c>
      <c r="AE244" s="13">
        <f t="shared" si="50"/>
        <v>0</v>
      </c>
      <c r="AF244" s="14">
        <f t="shared" si="51"/>
        <v>0</v>
      </c>
      <c r="AG244" s="13">
        <f t="shared" si="52"/>
        <v>112</v>
      </c>
      <c r="AH244" s="13">
        <f t="shared" si="53"/>
        <v>7.84</v>
      </c>
      <c r="AI244" s="13">
        <f t="shared" si="54"/>
        <v>3.36</v>
      </c>
      <c r="AJ244" s="13">
        <f t="shared" si="55"/>
        <v>2.24</v>
      </c>
      <c r="AK244" s="13">
        <f t="shared" si="56"/>
        <v>0</v>
      </c>
      <c r="AL244" s="13">
        <f t="shared" si="57"/>
        <v>0</v>
      </c>
      <c r="AM244" s="13">
        <f t="shared" si="58"/>
        <v>112</v>
      </c>
      <c r="AN244" s="13">
        <f t="shared" si="59"/>
        <v>7.84</v>
      </c>
      <c r="AO244" s="13">
        <f t="shared" si="60"/>
        <v>3.36</v>
      </c>
      <c r="AP244" s="13">
        <f t="shared" si="61"/>
        <v>2.24</v>
      </c>
      <c r="AQ244" s="13" t="str">
        <f t="shared" si="62"/>
        <v>TJ202512182031000268314</v>
      </c>
      <c r="AR244" s="13">
        <f t="shared" si="63"/>
        <v>0.05</v>
      </c>
    </row>
    <row r="245" ht="15" spans="1:44">
      <c r="A245" s="31" t="s">
        <v>433</v>
      </c>
      <c r="B245" s="12" t="s">
        <v>434</v>
      </c>
      <c r="C245" s="12" t="s">
        <v>54</v>
      </c>
      <c r="D245" s="12" t="s">
        <v>55</v>
      </c>
      <c r="E245" s="12" t="s">
        <v>51</v>
      </c>
      <c r="F245" s="5">
        <f>ROUND(SUMIF([1]开票!$A$2:$A$1750,[1]申请!AQ245,[1]开票!$C$2:$C$1750),2)</f>
        <v>68887.52</v>
      </c>
      <c r="G245" s="5">
        <f>ROUND(SUMIF([1]开票!$A$2:$A$1750,[1]申请!AQ245,[1]开票!$D$2:$D$1750),2)</f>
        <v>0</v>
      </c>
      <c r="H245" s="5">
        <f>ROUND(SUMIF([1]开票!$A$2:$A$1750,[1]申请!AQ245,[1]开票!$E$2:$E$1750),2)</f>
        <v>4133.25</v>
      </c>
      <c r="I245" s="5">
        <f t="shared" si="48"/>
        <v>73020.77</v>
      </c>
      <c r="J245" s="12"/>
      <c r="K245" s="36"/>
      <c r="L245" s="12">
        <v>73020.77</v>
      </c>
      <c r="M245" s="12"/>
      <c r="N245" s="12"/>
      <c r="O245" s="12"/>
      <c r="P245" s="12"/>
      <c r="Q245" s="12"/>
      <c r="R245" s="12"/>
      <c r="S245" s="32"/>
      <c r="T245" s="32"/>
      <c r="U245" s="16"/>
      <c r="V245" s="12"/>
      <c r="W245" s="12"/>
      <c r="X245" s="12"/>
      <c r="Y245" s="12"/>
      <c r="Z245" s="12"/>
      <c r="AA245" s="12"/>
      <c r="AB245" s="12"/>
      <c r="AC245" s="12"/>
      <c r="AD245" s="12">
        <f t="shared" si="49"/>
        <v>73020.77</v>
      </c>
      <c r="AE245" s="13">
        <f t="shared" si="50"/>
        <v>0</v>
      </c>
      <c r="AF245" s="14">
        <f t="shared" si="51"/>
        <v>0</v>
      </c>
      <c r="AG245" s="13">
        <f t="shared" si="52"/>
        <v>4133.25</v>
      </c>
      <c r="AH245" s="13">
        <f t="shared" si="53"/>
        <v>289.33</v>
      </c>
      <c r="AI245" s="13">
        <f t="shared" si="54"/>
        <v>124</v>
      </c>
      <c r="AJ245" s="13">
        <f t="shared" si="55"/>
        <v>82.67</v>
      </c>
      <c r="AK245" s="13">
        <f t="shared" si="56"/>
        <v>0</v>
      </c>
      <c r="AL245" s="13">
        <f t="shared" si="57"/>
        <v>0</v>
      </c>
      <c r="AM245" s="13">
        <f t="shared" si="58"/>
        <v>4133.25</v>
      </c>
      <c r="AN245" s="13">
        <f t="shared" si="59"/>
        <v>289.33</v>
      </c>
      <c r="AO245" s="13">
        <f t="shared" si="60"/>
        <v>124</v>
      </c>
      <c r="AP245" s="13">
        <f t="shared" si="61"/>
        <v>82.67</v>
      </c>
      <c r="AQ245" s="13" t="str">
        <f t="shared" si="62"/>
        <v>TJ202512190929000242621</v>
      </c>
      <c r="AR245" s="13">
        <f t="shared" si="63"/>
        <v>0.06</v>
      </c>
    </row>
    <row r="246" ht="15" spans="1:44">
      <c r="A246" s="31" t="s">
        <v>435</v>
      </c>
      <c r="B246" s="12" t="s">
        <v>436</v>
      </c>
      <c r="C246" s="12" t="s">
        <v>437</v>
      </c>
      <c r="D246" s="12" t="s">
        <v>121</v>
      </c>
      <c r="E246" s="12" t="s">
        <v>51</v>
      </c>
      <c r="F246" s="5">
        <f>ROUND(SUMIF([1]开票!$A$2:$A$1750,[1]申请!AQ246,[1]开票!$C$2:$C$1750),2)</f>
        <v>258362.32</v>
      </c>
      <c r="G246" s="5">
        <f>ROUND(SUMIF([1]开票!$A$2:$A$1750,[1]申请!AQ246,[1]开票!$D$2:$D$1750),2)</f>
        <v>0</v>
      </c>
      <c r="H246" s="5">
        <f>ROUND(SUMIF([1]开票!$A$2:$A$1750,[1]申请!AQ246,[1]开票!$E$2:$E$1750),2)</f>
        <v>15501.74</v>
      </c>
      <c r="I246" s="5">
        <f t="shared" si="48"/>
        <v>273864.06</v>
      </c>
      <c r="J246" s="12"/>
      <c r="K246" s="32"/>
      <c r="L246" s="12">
        <v>273864.06</v>
      </c>
      <c r="M246" s="12"/>
      <c r="N246" s="12"/>
      <c r="O246" s="12"/>
      <c r="P246" s="12"/>
      <c r="Q246" s="12"/>
      <c r="R246" s="12"/>
      <c r="S246" s="12"/>
      <c r="T246" s="12"/>
      <c r="U246" s="20"/>
      <c r="V246" s="12"/>
      <c r="W246" s="12"/>
      <c r="X246" s="12"/>
      <c r="Y246" s="12"/>
      <c r="Z246" s="12"/>
      <c r="AA246" s="12"/>
      <c r="AB246" s="12"/>
      <c r="AC246" s="12"/>
      <c r="AD246" s="12">
        <f t="shared" si="49"/>
        <v>273864.06</v>
      </c>
      <c r="AE246" s="13">
        <f t="shared" si="50"/>
        <v>0</v>
      </c>
      <c r="AF246" s="14">
        <f t="shared" si="51"/>
        <v>0</v>
      </c>
      <c r="AG246" s="13">
        <f t="shared" si="52"/>
        <v>15501.74</v>
      </c>
      <c r="AH246" s="13">
        <f t="shared" si="53"/>
        <v>1085.12</v>
      </c>
      <c r="AI246" s="13">
        <f t="shared" si="54"/>
        <v>465.05</v>
      </c>
      <c r="AJ246" s="13">
        <f t="shared" si="55"/>
        <v>310.03</v>
      </c>
      <c r="AK246" s="13">
        <f t="shared" si="56"/>
        <v>0</v>
      </c>
      <c r="AL246" s="13">
        <f t="shared" si="57"/>
        <v>0</v>
      </c>
      <c r="AM246" s="13">
        <f t="shared" si="58"/>
        <v>15501.74</v>
      </c>
      <c r="AN246" s="13">
        <f t="shared" si="59"/>
        <v>1085.12</v>
      </c>
      <c r="AO246" s="13">
        <f t="shared" si="60"/>
        <v>465.05</v>
      </c>
      <c r="AP246" s="13">
        <f t="shared" si="61"/>
        <v>310.03</v>
      </c>
      <c r="AQ246" s="13" t="str">
        <f t="shared" si="62"/>
        <v>TJ202512191049000439819</v>
      </c>
      <c r="AR246" s="13">
        <f t="shared" si="63"/>
        <v>0.06</v>
      </c>
    </row>
    <row r="247" ht="15" spans="1:44">
      <c r="A247" s="31" t="s">
        <v>438</v>
      </c>
      <c r="B247" s="12" t="s">
        <v>439</v>
      </c>
      <c r="C247" s="12" t="s">
        <v>54</v>
      </c>
      <c r="D247" s="12" t="s">
        <v>47</v>
      </c>
      <c r="E247" s="12" t="s">
        <v>51</v>
      </c>
      <c r="F247" s="5">
        <f>ROUND(SUMIF([1]开票!$A$2:$A$1750,[1]申请!AQ247,[1]开票!$C$2:$C$1750),2)</f>
        <v>1947929.93</v>
      </c>
      <c r="G247" s="5">
        <f>ROUND(SUMIF([1]开票!$A$2:$A$1750,[1]申请!AQ247,[1]开票!$D$2:$D$1750),2)</f>
        <v>0</v>
      </c>
      <c r="H247" s="5">
        <f>ROUND(SUMIF([1]开票!$A$2:$A$1750,[1]申请!AQ247,[1]开票!$E$2:$E$1750),2)</f>
        <v>116875.8</v>
      </c>
      <c r="I247" s="5">
        <f t="shared" si="48"/>
        <v>2064805.73</v>
      </c>
      <c r="J247" s="12">
        <v>11290</v>
      </c>
      <c r="K247" s="32"/>
      <c r="L247" s="12"/>
      <c r="M247" s="12"/>
      <c r="N247" s="12"/>
      <c r="O247" s="12"/>
      <c r="P247" s="12"/>
      <c r="Q247" s="12"/>
      <c r="R247" s="12"/>
      <c r="S247" s="34">
        <v>1633963.49</v>
      </c>
      <c r="T247" s="12">
        <v>0</v>
      </c>
      <c r="U247" s="34">
        <v>256309.34</v>
      </c>
      <c r="V247" s="16">
        <v>34296</v>
      </c>
      <c r="W247" s="12"/>
      <c r="X247" s="12"/>
      <c r="Y247" s="12">
        <v>128946.9</v>
      </c>
      <c r="Z247" s="12"/>
      <c r="AA247" s="12"/>
      <c r="AB247" s="12"/>
      <c r="AC247" s="12"/>
      <c r="AD247" s="12">
        <f t="shared" si="49"/>
        <v>2064805.73</v>
      </c>
      <c r="AE247" s="13">
        <f t="shared" si="50"/>
        <v>0</v>
      </c>
      <c r="AF247" s="14">
        <f t="shared" si="51"/>
        <v>0</v>
      </c>
      <c r="AG247" s="13">
        <f t="shared" si="52"/>
        <v>116875.8</v>
      </c>
      <c r="AH247" s="13">
        <f t="shared" si="53"/>
        <v>8181.31</v>
      </c>
      <c r="AI247" s="13">
        <f t="shared" si="54"/>
        <v>3506.27</v>
      </c>
      <c r="AJ247" s="13">
        <f t="shared" si="55"/>
        <v>2337.52</v>
      </c>
      <c r="AK247" s="13">
        <f t="shared" si="56"/>
        <v>115131.160714286</v>
      </c>
      <c r="AL247" s="13">
        <f t="shared" si="57"/>
        <v>13815.74</v>
      </c>
      <c r="AM247" s="13">
        <f t="shared" si="58"/>
        <v>1744.64</v>
      </c>
      <c r="AN247" s="13">
        <f t="shared" si="59"/>
        <v>122.12</v>
      </c>
      <c r="AO247" s="13">
        <f t="shared" si="60"/>
        <v>52.34</v>
      </c>
      <c r="AP247" s="13">
        <f t="shared" si="61"/>
        <v>34.9</v>
      </c>
      <c r="AQ247" s="13" t="str">
        <f t="shared" si="62"/>
        <v>TJ202512191305000270815</v>
      </c>
      <c r="AR247" s="13">
        <f t="shared" si="63"/>
        <v>0.06</v>
      </c>
    </row>
    <row r="248" ht="15" spans="1:44">
      <c r="A248" s="31" t="s">
        <v>440</v>
      </c>
      <c r="B248" s="12" t="s">
        <v>441</v>
      </c>
      <c r="C248" s="12" t="s">
        <v>46</v>
      </c>
      <c r="D248" s="12" t="s">
        <v>47</v>
      </c>
      <c r="E248" s="12" t="s">
        <v>48</v>
      </c>
      <c r="F248" s="5">
        <f>ROUND(SUMIF([1]开票!$A$2:$A$1750,[1]申请!AQ248,[1]开票!$C$2:$C$1750),2)</f>
        <v>171.43</v>
      </c>
      <c r="G248" s="5">
        <f>ROUND(SUMIF([1]开票!$A$2:$A$1750,[1]申请!AQ248,[1]开票!$D$2:$D$1750),2)</f>
        <v>1374.67</v>
      </c>
      <c r="H248" s="5">
        <f>ROUND(SUMIF([1]开票!$A$2:$A$1750,[1]申请!AQ248,[1]开票!$E$2:$E$1750),2)</f>
        <v>8.57</v>
      </c>
      <c r="I248" s="5">
        <f t="shared" si="48"/>
        <v>1554.67</v>
      </c>
      <c r="J248" s="12">
        <v>180</v>
      </c>
      <c r="K248" s="32"/>
      <c r="L248" s="21"/>
      <c r="M248" s="21"/>
      <c r="N248" s="12"/>
      <c r="O248" s="12"/>
      <c r="P248" s="12"/>
      <c r="Q248" s="12"/>
      <c r="R248" s="12"/>
      <c r="S248" s="34"/>
      <c r="T248" s="16"/>
      <c r="U248" s="20">
        <v>1349.62</v>
      </c>
      <c r="V248" s="20"/>
      <c r="W248" s="12"/>
      <c r="X248" s="12">
        <v>25.05</v>
      </c>
      <c r="Y248" s="12"/>
      <c r="Z248" s="12"/>
      <c r="AA248" s="12"/>
      <c r="AB248" s="12"/>
      <c r="AC248" s="12"/>
      <c r="AD248" s="12">
        <f t="shared" si="49"/>
        <v>1554.67</v>
      </c>
      <c r="AE248" s="13">
        <f t="shared" si="50"/>
        <v>0</v>
      </c>
      <c r="AF248" s="14">
        <f t="shared" si="51"/>
        <v>0</v>
      </c>
      <c r="AG248" s="13">
        <f t="shared" si="52"/>
        <v>8.57</v>
      </c>
      <c r="AH248" s="13">
        <f t="shared" si="53"/>
        <v>0.6</v>
      </c>
      <c r="AI248" s="13">
        <f t="shared" si="54"/>
        <v>0.26</v>
      </c>
      <c r="AJ248" s="13">
        <f t="shared" si="55"/>
        <v>0.17</v>
      </c>
      <c r="AK248" s="13">
        <f t="shared" si="56"/>
        <v>0</v>
      </c>
      <c r="AL248" s="13">
        <f t="shared" si="57"/>
        <v>0</v>
      </c>
      <c r="AM248" s="13">
        <f t="shared" si="58"/>
        <v>8.57</v>
      </c>
      <c r="AN248" s="13">
        <f t="shared" si="59"/>
        <v>0.6</v>
      </c>
      <c r="AO248" s="13">
        <f t="shared" si="60"/>
        <v>0.26</v>
      </c>
      <c r="AP248" s="13">
        <f t="shared" si="61"/>
        <v>0.17</v>
      </c>
      <c r="AQ248" s="13" t="str">
        <f t="shared" si="62"/>
        <v>TJ202512191345000250458</v>
      </c>
      <c r="AR248" s="13">
        <f t="shared" si="63"/>
        <v>0.05</v>
      </c>
    </row>
    <row r="249" ht="15" spans="1:44">
      <c r="A249" s="31" t="s">
        <v>442</v>
      </c>
      <c r="B249" s="12" t="s">
        <v>441</v>
      </c>
      <c r="C249" s="12" t="s">
        <v>46</v>
      </c>
      <c r="D249" s="12" t="s">
        <v>47</v>
      </c>
      <c r="E249" s="12" t="s">
        <v>48</v>
      </c>
      <c r="F249" s="5">
        <f>ROUND(SUMIF([1]开票!$A$2:$A$1750,[1]申请!AQ249,[1]开票!$C$2:$C$1750),2)</f>
        <v>0</v>
      </c>
      <c r="G249" s="5">
        <f>ROUND(SUMIF([1]开票!$A$2:$A$1750,[1]申请!AQ249,[1]开票!$D$2:$D$1750),2)</f>
        <v>2545.33</v>
      </c>
      <c r="H249" s="5">
        <f>ROUND(SUMIF([1]开票!$A$2:$A$1750,[1]申请!AQ249,[1]开票!$E$2:$E$1750),2)</f>
        <v>0</v>
      </c>
      <c r="I249" s="5">
        <f t="shared" si="48"/>
        <v>2545.33</v>
      </c>
      <c r="J249" s="12"/>
      <c r="K249" s="32">
        <v>0</v>
      </c>
      <c r="L249" s="12"/>
      <c r="M249" s="23"/>
      <c r="N249" s="15"/>
      <c r="O249" s="12"/>
      <c r="P249" s="12"/>
      <c r="Q249" s="12"/>
      <c r="R249" s="12"/>
      <c r="S249" s="20">
        <v>2545.33</v>
      </c>
      <c r="T249" s="34">
        <v>0</v>
      </c>
      <c r="U249" s="12"/>
      <c r="V249" s="12"/>
      <c r="W249" s="38"/>
      <c r="X249" s="34"/>
      <c r="Y249" s="12"/>
      <c r="Z249" s="12"/>
      <c r="AA249" s="12"/>
      <c r="AB249" s="12"/>
      <c r="AC249" s="12"/>
      <c r="AD249" s="12">
        <f t="shared" si="49"/>
        <v>2545.33</v>
      </c>
      <c r="AE249" s="13">
        <f t="shared" si="50"/>
        <v>0</v>
      </c>
      <c r="AF249" s="14">
        <f t="shared" si="51"/>
        <v>0</v>
      </c>
      <c r="AG249" s="13">
        <f t="shared" si="52"/>
        <v>0</v>
      </c>
      <c r="AH249" s="13">
        <f t="shared" si="53"/>
        <v>0</v>
      </c>
      <c r="AI249" s="13">
        <f t="shared" si="54"/>
        <v>0</v>
      </c>
      <c r="AJ249" s="13">
        <f t="shared" si="55"/>
        <v>0</v>
      </c>
      <c r="AK249" s="13">
        <f t="shared" si="56"/>
        <v>0</v>
      </c>
      <c r="AL249" s="13">
        <f t="shared" si="57"/>
        <v>0</v>
      </c>
      <c r="AM249" s="13">
        <f t="shared" si="58"/>
        <v>0</v>
      </c>
      <c r="AN249" s="13">
        <f t="shared" si="59"/>
        <v>0</v>
      </c>
      <c r="AO249" s="13">
        <f t="shared" si="60"/>
        <v>0</v>
      </c>
      <c r="AP249" s="13">
        <f t="shared" si="61"/>
        <v>0</v>
      </c>
      <c r="AQ249" s="13" t="str">
        <f t="shared" si="62"/>
        <v>TJ202512191348000184149</v>
      </c>
      <c r="AR249" s="13">
        <f t="shared" si="63"/>
        <v>0.05</v>
      </c>
    </row>
    <row r="250" ht="15" spans="1:44">
      <c r="A250" s="31" t="s">
        <v>443</v>
      </c>
      <c r="B250" s="12" t="s">
        <v>444</v>
      </c>
      <c r="C250" s="12" t="s">
        <v>54</v>
      </c>
      <c r="D250" s="12" t="s">
        <v>55</v>
      </c>
      <c r="E250" s="12" t="s">
        <v>51</v>
      </c>
      <c r="F250" s="5">
        <f>ROUND(SUMIF([1]开票!$A$2:$A$1750,[1]申请!AQ250,[1]开票!$C$2:$C$1750),2)</f>
        <v>150631.56</v>
      </c>
      <c r="G250" s="5">
        <f>ROUND(SUMIF([1]开票!$A$2:$A$1750,[1]申请!AQ250,[1]开票!$D$2:$D$1750),2)</f>
        <v>0</v>
      </c>
      <c r="H250" s="5">
        <f>ROUND(SUMIF([1]开票!$A$2:$A$1750,[1]申请!AQ250,[1]开票!$E$2:$E$1750),2)</f>
        <v>9037.89</v>
      </c>
      <c r="I250" s="5">
        <f t="shared" si="48"/>
        <v>159669.45</v>
      </c>
      <c r="J250" s="12"/>
      <c r="K250" s="32"/>
      <c r="L250" s="12">
        <v>159669.45</v>
      </c>
      <c r="M250" s="12"/>
      <c r="N250" s="16"/>
      <c r="O250" s="12"/>
      <c r="P250" s="12"/>
      <c r="Q250" s="12"/>
      <c r="R250" s="12"/>
      <c r="S250" s="20"/>
      <c r="T250" s="34"/>
      <c r="U250" s="20"/>
      <c r="V250" s="15"/>
      <c r="W250" s="38"/>
      <c r="X250" s="15"/>
      <c r="Y250" s="12"/>
      <c r="Z250" s="12"/>
      <c r="AA250" s="12"/>
      <c r="AB250" s="12"/>
      <c r="AC250" s="12"/>
      <c r="AD250" s="12">
        <f t="shared" si="49"/>
        <v>159669.45</v>
      </c>
      <c r="AE250" s="13">
        <f t="shared" si="50"/>
        <v>0</v>
      </c>
      <c r="AF250" s="14">
        <f t="shared" si="51"/>
        <v>0</v>
      </c>
      <c r="AG250" s="13">
        <f t="shared" si="52"/>
        <v>9037.89</v>
      </c>
      <c r="AH250" s="13">
        <f t="shared" si="53"/>
        <v>632.65</v>
      </c>
      <c r="AI250" s="13">
        <f t="shared" si="54"/>
        <v>271.14</v>
      </c>
      <c r="AJ250" s="13">
        <f t="shared" si="55"/>
        <v>180.76</v>
      </c>
      <c r="AK250" s="13">
        <f t="shared" si="56"/>
        <v>0</v>
      </c>
      <c r="AL250" s="13">
        <f t="shared" si="57"/>
        <v>0</v>
      </c>
      <c r="AM250" s="13">
        <f t="shared" si="58"/>
        <v>9037.89</v>
      </c>
      <c r="AN250" s="13">
        <f t="shared" si="59"/>
        <v>632.65</v>
      </c>
      <c r="AO250" s="13">
        <f t="shared" si="60"/>
        <v>271.14</v>
      </c>
      <c r="AP250" s="13">
        <f t="shared" si="61"/>
        <v>180.76</v>
      </c>
      <c r="AQ250" s="13" t="str">
        <f t="shared" si="62"/>
        <v>TJ202512191456000383615</v>
      </c>
      <c r="AR250" s="13">
        <f t="shared" si="63"/>
        <v>0.06</v>
      </c>
    </row>
    <row r="251" ht="15" spans="1:44">
      <c r="A251" s="31" t="s">
        <v>445</v>
      </c>
      <c r="B251" s="12" t="s">
        <v>444</v>
      </c>
      <c r="C251" s="12" t="s">
        <v>54</v>
      </c>
      <c r="D251" s="12" t="s">
        <v>55</v>
      </c>
      <c r="E251" s="12" t="s">
        <v>51</v>
      </c>
      <c r="F251" s="5">
        <f>ROUND(SUMIF([1]开票!$A$2:$A$1750,[1]申请!AQ251,[1]开票!$C$2:$C$1750),2)</f>
        <v>542316.29</v>
      </c>
      <c r="G251" s="5">
        <f>ROUND(SUMIF([1]开票!$A$2:$A$1750,[1]申请!AQ251,[1]开票!$D$2:$D$1750),2)</f>
        <v>0</v>
      </c>
      <c r="H251" s="5">
        <f>ROUND(SUMIF([1]开票!$A$2:$A$1750,[1]申请!AQ251,[1]开票!$E$2:$E$1750),2)</f>
        <v>32538.98</v>
      </c>
      <c r="I251" s="5">
        <f t="shared" si="48"/>
        <v>574855.27</v>
      </c>
      <c r="J251" s="12"/>
      <c r="K251" s="32"/>
      <c r="L251" s="12">
        <v>574855.27</v>
      </c>
      <c r="M251" s="12"/>
      <c r="N251" s="21"/>
      <c r="O251" s="12"/>
      <c r="P251" s="12"/>
      <c r="Q251" s="12"/>
      <c r="R251" s="12"/>
      <c r="S251" s="34"/>
      <c r="T251" s="12"/>
      <c r="U251" s="20"/>
      <c r="V251" s="38"/>
      <c r="W251" s="38"/>
      <c r="X251" s="12"/>
      <c r="Y251" s="12"/>
      <c r="Z251" s="12"/>
      <c r="AA251" s="12"/>
      <c r="AB251" s="12"/>
      <c r="AC251" s="12"/>
      <c r="AD251" s="12">
        <f t="shared" si="49"/>
        <v>574855.27</v>
      </c>
      <c r="AE251" s="13">
        <f t="shared" si="50"/>
        <v>0</v>
      </c>
      <c r="AF251" s="14">
        <f t="shared" si="51"/>
        <v>0</v>
      </c>
      <c r="AG251" s="13">
        <f t="shared" si="52"/>
        <v>32538.98</v>
      </c>
      <c r="AH251" s="13">
        <f t="shared" si="53"/>
        <v>2277.73</v>
      </c>
      <c r="AI251" s="13">
        <f t="shared" si="54"/>
        <v>976.17</v>
      </c>
      <c r="AJ251" s="13">
        <f t="shared" si="55"/>
        <v>650.78</v>
      </c>
      <c r="AK251" s="13">
        <f t="shared" si="56"/>
        <v>0</v>
      </c>
      <c r="AL251" s="13">
        <f t="shared" si="57"/>
        <v>0</v>
      </c>
      <c r="AM251" s="13">
        <f t="shared" si="58"/>
        <v>32538.98</v>
      </c>
      <c r="AN251" s="13">
        <f t="shared" si="59"/>
        <v>2277.73</v>
      </c>
      <c r="AO251" s="13">
        <f t="shared" si="60"/>
        <v>976.17</v>
      </c>
      <c r="AP251" s="13">
        <f t="shared" si="61"/>
        <v>650.78</v>
      </c>
      <c r="AQ251" s="13" t="str">
        <f t="shared" si="62"/>
        <v>TJ202512191522000456729</v>
      </c>
      <c r="AR251" s="13">
        <f t="shared" si="63"/>
        <v>0.06</v>
      </c>
    </row>
    <row r="252" ht="15" spans="1:44">
      <c r="A252" s="31" t="s">
        <v>446</v>
      </c>
      <c r="B252" s="12" t="s">
        <v>447</v>
      </c>
      <c r="C252" s="12" t="s">
        <v>54</v>
      </c>
      <c r="D252" s="12" t="s">
        <v>55</v>
      </c>
      <c r="E252" s="12" t="s">
        <v>51</v>
      </c>
      <c r="F252" s="5">
        <f>ROUND(SUMIF([1]开票!$A$2:$A$1750,[1]申请!AQ252,[1]开票!$C$2:$C$1750),2)</f>
        <v>28635.57</v>
      </c>
      <c r="G252" s="5">
        <f>ROUND(SUMIF([1]开票!$A$2:$A$1750,[1]申请!AQ252,[1]开票!$D$2:$D$1750),2)</f>
        <v>0</v>
      </c>
      <c r="H252" s="5">
        <f>ROUND(SUMIF([1]开票!$A$2:$A$1750,[1]申请!AQ252,[1]开票!$E$2:$E$1750),2)</f>
        <v>1718.13</v>
      </c>
      <c r="I252" s="5">
        <f t="shared" si="48"/>
        <v>30353.7</v>
      </c>
      <c r="J252" s="12">
        <v>215</v>
      </c>
      <c r="K252" s="32"/>
      <c r="L252" s="12"/>
      <c r="M252" s="12"/>
      <c r="N252" s="12"/>
      <c r="O252" s="17"/>
      <c r="P252" s="12"/>
      <c r="Q252" s="12"/>
      <c r="R252" s="12"/>
      <c r="S252" s="20">
        <v>22503.11</v>
      </c>
      <c r="T252" s="20"/>
      <c r="U252" s="34">
        <v>5743.1</v>
      </c>
      <c r="V252" s="12"/>
      <c r="W252" s="12"/>
      <c r="X252" s="12"/>
      <c r="Y252" s="12">
        <v>1892.49</v>
      </c>
      <c r="Z252" s="12"/>
      <c r="AA252" s="12"/>
      <c r="AB252" s="12"/>
      <c r="AC252" s="12"/>
      <c r="AD252" s="12">
        <f t="shared" si="49"/>
        <v>30353.7</v>
      </c>
      <c r="AE252" s="13">
        <f t="shared" si="50"/>
        <v>0</v>
      </c>
      <c r="AF252" s="14">
        <f t="shared" si="51"/>
        <v>0</v>
      </c>
      <c r="AG252" s="13">
        <f t="shared" si="52"/>
        <v>1718.13</v>
      </c>
      <c r="AH252" s="13">
        <f t="shared" si="53"/>
        <v>120.27</v>
      </c>
      <c r="AI252" s="13">
        <f t="shared" si="54"/>
        <v>51.54</v>
      </c>
      <c r="AJ252" s="13">
        <f t="shared" si="55"/>
        <v>34.36</v>
      </c>
      <c r="AK252" s="13">
        <f t="shared" si="56"/>
        <v>1689.72321428571</v>
      </c>
      <c r="AL252" s="13">
        <f t="shared" si="57"/>
        <v>202.77</v>
      </c>
      <c r="AM252" s="13">
        <f t="shared" si="58"/>
        <v>28.41</v>
      </c>
      <c r="AN252" s="13">
        <f t="shared" si="59"/>
        <v>1.99</v>
      </c>
      <c r="AO252" s="13">
        <f t="shared" si="60"/>
        <v>0.85</v>
      </c>
      <c r="AP252" s="13">
        <f t="shared" si="61"/>
        <v>0.56</v>
      </c>
      <c r="AQ252" s="13" t="str">
        <f t="shared" si="62"/>
        <v>TJ202512191526000028764</v>
      </c>
      <c r="AR252" s="13">
        <f t="shared" si="63"/>
        <v>0.06</v>
      </c>
    </row>
    <row r="253" ht="15" spans="1:44">
      <c r="A253" s="31" t="s">
        <v>448</v>
      </c>
      <c r="B253" s="12" t="s">
        <v>293</v>
      </c>
      <c r="C253" s="12" t="s">
        <v>54</v>
      </c>
      <c r="D253" s="12" t="s">
        <v>55</v>
      </c>
      <c r="E253" s="12" t="s">
        <v>51</v>
      </c>
      <c r="F253" s="5">
        <f>ROUND(SUMIF([1]开票!$A$2:$A$1750,[1]申请!AQ253,[1]开票!$C$2:$C$1750),2)</f>
        <v>1187079.06</v>
      </c>
      <c r="G253" s="5">
        <f>ROUND(SUMIF([1]开票!$A$2:$A$1750,[1]申请!AQ253,[1]开票!$D$2:$D$1750),2)</f>
        <v>0</v>
      </c>
      <c r="H253" s="5">
        <f>ROUND(SUMIF([1]开票!$A$2:$A$1750,[1]申请!AQ253,[1]开票!$E$2:$E$1750),2)</f>
        <v>71224.74</v>
      </c>
      <c r="I253" s="5">
        <f t="shared" si="48"/>
        <v>1258303.8</v>
      </c>
      <c r="J253" s="12"/>
      <c r="K253" s="32"/>
      <c r="L253" s="12">
        <v>1258303.8</v>
      </c>
      <c r="M253" s="12"/>
      <c r="N253" s="12"/>
      <c r="O253" s="12"/>
      <c r="P253" s="12"/>
      <c r="Q253" s="12"/>
      <c r="R253" s="12"/>
      <c r="S253" s="34"/>
      <c r="T253" s="12"/>
      <c r="U253" s="20"/>
      <c r="V253" s="34"/>
      <c r="W253" s="12"/>
      <c r="X253" s="12"/>
      <c r="Y253" s="12"/>
      <c r="Z253" s="12"/>
      <c r="AA253" s="12"/>
      <c r="AB253" s="12"/>
      <c r="AC253" s="12"/>
      <c r="AD253" s="12">
        <f t="shared" si="49"/>
        <v>1258303.8</v>
      </c>
      <c r="AE253" s="13">
        <f t="shared" si="50"/>
        <v>0</v>
      </c>
      <c r="AF253" s="14">
        <f t="shared" si="51"/>
        <v>0</v>
      </c>
      <c r="AG253" s="13">
        <f t="shared" si="52"/>
        <v>71224.74</v>
      </c>
      <c r="AH253" s="13">
        <f t="shared" si="53"/>
        <v>4985.73</v>
      </c>
      <c r="AI253" s="13">
        <f t="shared" si="54"/>
        <v>2136.74</v>
      </c>
      <c r="AJ253" s="13">
        <f t="shared" si="55"/>
        <v>1424.49</v>
      </c>
      <c r="AK253" s="13">
        <f t="shared" si="56"/>
        <v>0</v>
      </c>
      <c r="AL253" s="13">
        <f t="shared" si="57"/>
        <v>0</v>
      </c>
      <c r="AM253" s="13">
        <f t="shared" si="58"/>
        <v>71224.74</v>
      </c>
      <c r="AN253" s="13">
        <f t="shared" si="59"/>
        <v>4985.73</v>
      </c>
      <c r="AO253" s="13">
        <f t="shared" si="60"/>
        <v>2136.74</v>
      </c>
      <c r="AP253" s="13">
        <f t="shared" si="61"/>
        <v>1424.49</v>
      </c>
      <c r="AQ253" s="13" t="str">
        <f t="shared" si="62"/>
        <v>TJ202512191635000090268</v>
      </c>
      <c r="AR253" s="13">
        <f t="shared" si="63"/>
        <v>0.06</v>
      </c>
    </row>
    <row r="254" ht="15" spans="1:44">
      <c r="A254" s="31" t="s">
        <v>449</v>
      </c>
      <c r="B254" s="12" t="s">
        <v>450</v>
      </c>
      <c r="C254" s="12" t="s">
        <v>54</v>
      </c>
      <c r="D254" s="12" t="s">
        <v>47</v>
      </c>
      <c r="E254" s="12" t="s">
        <v>51</v>
      </c>
      <c r="F254" s="5">
        <f>ROUND(SUMIF([1]开票!$A$2:$A$1750,[1]申请!AQ254,[1]开票!$C$2:$C$1750),2)</f>
        <v>449603.04</v>
      </c>
      <c r="G254" s="5">
        <f>ROUND(SUMIF([1]开票!$A$2:$A$1750,[1]申请!AQ254,[1]开票!$D$2:$D$1750),2)</f>
        <v>0</v>
      </c>
      <c r="H254" s="5">
        <f>ROUND(SUMIF([1]开票!$A$2:$A$1750,[1]申请!AQ254,[1]开票!$E$2:$E$1750),2)</f>
        <v>26976.18</v>
      </c>
      <c r="I254" s="5">
        <f t="shared" si="48"/>
        <v>476579.22</v>
      </c>
      <c r="J254" s="12">
        <v>2882</v>
      </c>
      <c r="K254" s="32"/>
      <c r="L254" s="12"/>
      <c r="M254" s="12"/>
      <c r="N254" s="12"/>
      <c r="O254" s="12"/>
      <c r="P254" s="12"/>
      <c r="Q254" s="12"/>
      <c r="R254" s="12"/>
      <c r="S254" s="12">
        <v>331951.61</v>
      </c>
      <c r="T254" s="12">
        <v>5161.91</v>
      </c>
      <c r="U254" s="20">
        <v>93280.87</v>
      </c>
      <c r="V254" s="20">
        <v>13558</v>
      </c>
      <c r="W254" s="12"/>
      <c r="X254" s="12"/>
      <c r="Y254" s="12">
        <v>29744.83</v>
      </c>
      <c r="Z254" s="12"/>
      <c r="AA254" s="12"/>
      <c r="AB254" s="12"/>
      <c r="AC254" s="12"/>
      <c r="AD254" s="12">
        <f t="shared" si="49"/>
        <v>476579.22</v>
      </c>
      <c r="AE254" s="13">
        <f t="shared" si="50"/>
        <v>0</v>
      </c>
      <c r="AF254" s="14">
        <f t="shared" si="51"/>
        <v>0</v>
      </c>
      <c r="AG254" s="13">
        <f t="shared" si="52"/>
        <v>26976.18</v>
      </c>
      <c r="AH254" s="13">
        <f t="shared" si="53"/>
        <v>1888.33</v>
      </c>
      <c r="AI254" s="13">
        <f t="shared" si="54"/>
        <v>809.29</v>
      </c>
      <c r="AJ254" s="13">
        <f t="shared" si="55"/>
        <v>539.52</v>
      </c>
      <c r="AK254" s="13">
        <f t="shared" si="56"/>
        <v>26557.8839285714</v>
      </c>
      <c r="AL254" s="13">
        <f t="shared" si="57"/>
        <v>3186.95</v>
      </c>
      <c r="AM254" s="13">
        <f t="shared" si="58"/>
        <v>418.3</v>
      </c>
      <c r="AN254" s="13">
        <f t="shared" si="59"/>
        <v>29.28</v>
      </c>
      <c r="AO254" s="13">
        <f t="shared" si="60"/>
        <v>12.55</v>
      </c>
      <c r="AP254" s="13">
        <f t="shared" si="61"/>
        <v>8.36</v>
      </c>
      <c r="AQ254" s="13" t="str">
        <f t="shared" si="62"/>
        <v>TJ202512191646000354236</v>
      </c>
      <c r="AR254" s="13">
        <f t="shared" si="63"/>
        <v>0.06</v>
      </c>
    </row>
    <row r="255" ht="15" spans="1:44">
      <c r="A255" s="31" t="s">
        <v>451</v>
      </c>
      <c r="B255" s="12" t="s">
        <v>452</v>
      </c>
      <c r="C255" s="12" t="s">
        <v>54</v>
      </c>
      <c r="D255" s="12" t="s">
        <v>55</v>
      </c>
      <c r="E255" s="12" t="s">
        <v>51</v>
      </c>
      <c r="F255" s="5">
        <f>ROUND(SUMIF([1]开票!$A$2:$A$1750,[1]申请!AQ255,[1]开票!$C$2:$C$1750),2)</f>
        <v>23119.92</v>
      </c>
      <c r="G255" s="5">
        <f>ROUND(SUMIF([1]开票!$A$2:$A$1750,[1]申请!AQ255,[1]开票!$D$2:$D$1750),2)</f>
        <v>0</v>
      </c>
      <c r="H255" s="5">
        <f>ROUND(SUMIF([1]开票!$A$2:$A$1750,[1]申请!AQ255,[1]开票!$E$2:$E$1750),2)</f>
        <v>1387.19</v>
      </c>
      <c r="I255" s="5">
        <f t="shared" si="48"/>
        <v>24507.11</v>
      </c>
      <c r="J255" s="12"/>
      <c r="K255" s="12"/>
      <c r="L255" s="12">
        <v>24507.11</v>
      </c>
      <c r="M255" s="12"/>
      <c r="N255" s="12"/>
      <c r="O255" s="12"/>
      <c r="P255" s="12"/>
      <c r="Q255" s="12"/>
      <c r="R255" s="12"/>
      <c r="S255" s="20"/>
      <c r="T255" s="12"/>
      <c r="U255" s="34"/>
      <c r="V255" s="36"/>
      <c r="W255" s="12"/>
      <c r="X255" s="12"/>
      <c r="Y255" s="12"/>
      <c r="Z255" s="12"/>
      <c r="AA255" s="12"/>
      <c r="AB255" s="12"/>
      <c r="AC255" s="12"/>
      <c r="AD255" s="12">
        <f t="shared" si="49"/>
        <v>24507.11</v>
      </c>
      <c r="AE255" s="13">
        <f t="shared" si="50"/>
        <v>0</v>
      </c>
      <c r="AF255" s="14">
        <f t="shared" si="51"/>
        <v>0</v>
      </c>
      <c r="AG255" s="13">
        <f t="shared" si="52"/>
        <v>1387.19</v>
      </c>
      <c r="AH255" s="13">
        <f t="shared" si="53"/>
        <v>97.1</v>
      </c>
      <c r="AI255" s="13">
        <f t="shared" si="54"/>
        <v>41.62</v>
      </c>
      <c r="AJ255" s="13">
        <f t="shared" si="55"/>
        <v>27.74</v>
      </c>
      <c r="AK255" s="13">
        <f t="shared" si="56"/>
        <v>0</v>
      </c>
      <c r="AL255" s="13">
        <f t="shared" si="57"/>
        <v>0</v>
      </c>
      <c r="AM255" s="13">
        <f t="shared" si="58"/>
        <v>1387.19</v>
      </c>
      <c r="AN255" s="13">
        <f t="shared" si="59"/>
        <v>97.1</v>
      </c>
      <c r="AO255" s="13">
        <f t="shared" si="60"/>
        <v>41.62</v>
      </c>
      <c r="AP255" s="13">
        <f t="shared" si="61"/>
        <v>27.74</v>
      </c>
      <c r="AQ255" s="13" t="str">
        <f t="shared" si="62"/>
        <v>TJ202512191734000555641</v>
      </c>
      <c r="AR255" s="13">
        <f t="shared" si="63"/>
        <v>0.06</v>
      </c>
    </row>
    <row r="256" ht="15" spans="1:44">
      <c r="A256" s="39" t="s">
        <v>453</v>
      </c>
      <c r="B256" s="12" t="s">
        <v>293</v>
      </c>
      <c r="C256" s="12" t="s">
        <v>54</v>
      </c>
      <c r="D256" s="12" t="s">
        <v>55</v>
      </c>
      <c r="E256" s="12" t="s">
        <v>51</v>
      </c>
      <c r="F256" s="5">
        <f>ROUND(SUMIF([1]开票!$A$2:$A$1750,[1]申请!AQ256,[1]开票!$C$2:$C$1750),2)</f>
        <v>753930.13</v>
      </c>
      <c r="G256" s="5">
        <f>ROUND(SUMIF([1]开票!$A$2:$A$1750,[1]申请!AQ256,[1]开票!$D$2:$D$1750),2)</f>
        <v>0</v>
      </c>
      <c r="H256" s="5">
        <f>ROUND(SUMIF([1]开票!$A$2:$A$1750,[1]申请!AQ256,[1]开票!$E$2:$E$1750),2)</f>
        <v>45235.81</v>
      </c>
      <c r="I256" s="5">
        <f t="shared" si="48"/>
        <v>799165.94</v>
      </c>
      <c r="J256" s="20"/>
      <c r="K256" s="36"/>
      <c r="L256" s="12">
        <v>799165.94</v>
      </c>
      <c r="M256" s="23"/>
      <c r="N256" s="34"/>
      <c r="O256" s="12"/>
      <c r="P256" s="12"/>
      <c r="Q256" s="12"/>
      <c r="R256" s="12"/>
      <c r="S256" s="20"/>
      <c r="T256" s="32"/>
      <c r="U256" s="20"/>
      <c r="V256" s="12"/>
      <c r="W256" s="12"/>
      <c r="X256" s="32"/>
      <c r="Y256" s="12"/>
      <c r="Z256" s="12"/>
      <c r="AA256" s="12"/>
      <c r="AB256" s="12"/>
      <c r="AC256" s="12"/>
      <c r="AD256" s="12">
        <f t="shared" si="49"/>
        <v>799165.94</v>
      </c>
      <c r="AE256" s="13">
        <f t="shared" si="50"/>
        <v>0</v>
      </c>
      <c r="AF256" s="14">
        <f t="shared" si="51"/>
        <v>0</v>
      </c>
      <c r="AG256" s="13">
        <f t="shared" si="52"/>
        <v>45235.81</v>
      </c>
      <c r="AH256" s="13">
        <f t="shared" si="53"/>
        <v>3166.51</v>
      </c>
      <c r="AI256" s="13">
        <f t="shared" si="54"/>
        <v>1357.07</v>
      </c>
      <c r="AJ256" s="13">
        <f t="shared" si="55"/>
        <v>904.72</v>
      </c>
      <c r="AK256" s="13">
        <f t="shared" si="56"/>
        <v>0</v>
      </c>
      <c r="AL256" s="13">
        <f t="shared" si="57"/>
        <v>0</v>
      </c>
      <c r="AM256" s="13">
        <f t="shared" si="58"/>
        <v>45235.81</v>
      </c>
      <c r="AN256" s="13">
        <f t="shared" si="59"/>
        <v>3166.51</v>
      </c>
      <c r="AO256" s="13">
        <f t="shared" si="60"/>
        <v>1357.07</v>
      </c>
      <c r="AP256" s="13">
        <f t="shared" si="61"/>
        <v>904.72</v>
      </c>
      <c r="AQ256" s="13" t="str">
        <f t="shared" si="62"/>
        <v>TJ202512191735000285118</v>
      </c>
      <c r="AR256" s="13">
        <f t="shared" si="63"/>
        <v>0.06</v>
      </c>
    </row>
    <row r="257" ht="15" spans="1:44">
      <c r="A257" s="31" t="s">
        <v>454</v>
      </c>
      <c r="B257" s="15" t="s">
        <v>57</v>
      </c>
      <c r="C257" s="12" t="s">
        <v>54</v>
      </c>
      <c r="D257" s="12" t="s">
        <v>55</v>
      </c>
      <c r="E257" s="12" t="s">
        <v>51</v>
      </c>
      <c r="F257" s="5">
        <f>ROUND(SUMIF([1]开票!$A$2:$A$1750,[1]申请!AQ257,[1]开票!$C$2:$C$1750),2)</f>
        <v>187393.07</v>
      </c>
      <c r="G257" s="5">
        <f>ROUND(SUMIF([1]开票!$A$2:$A$1750,[1]申请!AQ257,[1]开票!$D$2:$D$1750),2)</f>
        <v>0</v>
      </c>
      <c r="H257" s="5">
        <f>ROUND(SUMIF([1]开票!$A$2:$A$1750,[1]申请!AQ257,[1]开票!$E$2:$E$1750),2)</f>
        <v>11243.58</v>
      </c>
      <c r="I257" s="5">
        <f t="shared" si="48"/>
        <v>198636.65</v>
      </c>
      <c r="J257" s="12">
        <v>198636.65</v>
      </c>
      <c r="K257" s="36"/>
      <c r="L257" s="15"/>
      <c r="M257" s="12"/>
      <c r="N257" s="16"/>
      <c r="O257" s="12"/>
      <c r="P257" s="12"/>
      <c r="Q257" s="12"/>
      <c r="R257" s="12"/>
      <c r="S257" s="20"/>
      <c r="T257" s="20"/>
      <c r="U257" s="34"/>
      <c r="V257" s="12"/>
      <c r="W257" s="12"/>
      <c r="X257" s="12"/>
      <c r="Y257" s="12"/>
      <c r="Z257" s="12"/>
      <c r="AA257" s="12"/>
      <c r="AB257" s="12"/>
      <c r="AC257" s="12"/>
      <c r="AD257" s="12">
        <f t="shared" si="49"/>
        <v>198636.65</v>
      </c>
      <c r="AE257" s="13">
        <f t="shared" si="50"/>
        <v>0</v>
      </c>
      <c r="AF257" s="14">
        <f t="shared" si="51"/>
        <v>0</v>
      </c>
      <c r="AG257" s="13">
        <f t="shared" si="52"/>
        <v>11243.58</v>
      </c>
      <c r="AH257" s="13">
        <f t="shared" si="53"/>
        <v>787.05</v>
      </c>
      <c r="AI257" s="13">
        <f t="shared" si="54"/>
        <v>337.31</v>
      </c>
      <c r="AJ257" s="13">
        <f t="shared" si="55"/>
        <v>224.87</v>
      </c>
      <c r="AK257" s="13">
        <f t="shared" si="56"/>
        <v>0</v>
      </c>
      <c r="AL257" s="13">
        <f t="shared" si="57"/>
        <v>0</v>
      </c>
      <c r="AM257" s="13">
        <f t="shared" si="58"/>
        <v>11243.58</v>
      </c>
      <c r="AN257" s="13">
        <f t="shared" si="59"/>
        <v>787.05</v>
      </c>
      <c r="AO257" s="13">
        <f t="shared" si="60"/>
        <v>337.31</v>
      </c>
      <c r="AP257" s="13">
        <f t="shared" si="61"/>
        <v>224.87</v>
      </c>
      <c r="AQ257" s="13" t="str">
        <f t="shared" si="62"/>
        <v>TJ202512191906000045789</v>
      </c>
      <c r="AR257" s="13">
        <f t="shared" si="63"/>
        <v>0.06</v>
      </c>
    </row>
    <row r="258" spans="1:44">
      <c r="A258" s="17" t="s">
        <v>455</v>
      </c>
      <c r="B258" s="12" t="s">
        <v>456</v>
      </c>
      <c r="C258" s="12" t="s">
        <v>54</v>
      </c>
      <c r="D258" s="12" t="s">
        <v>55</v>
      </c>
      <c r="E258" s="12" t="s">
        <v>51</v>
      </c>
      <c r="F258" s="5">
        <f>ROUND(SUMIF([1]开票!$A$2:$A$1750,[1]申请!AQ258,[1]开票!$C$2:$C$1750),2)</f>
        <v>43733.28</v>
      </c>
      <c r="G258" s="5">
        <f>ROUND(SUMIF([1]开票!$A$2:$A$1750,[1]申请!AQ258,[1]开票!$D$2:$D$1750),2)</f>
        <v>0</v>
      </c>
      <c r="H258" s="5">
        <f>ROUND(SUMIF([1]开票!$A$2:$A$1750,[1]申请!AQ258,[1]开票!$E$2:$E$1750),2)</f>
        <v>2624</v>
      </c>
      <c r="I258" s="5">
        <f t="shared" ref="I258:I321" si="64">SUM(F258:H258)</f>
        <v>46357.28</v>
      </c>
      <c r="J258" s="12"/>
      <c r="K258" s="15"/>
      <c r="L258" s="12">
        <v>46357.28</v>
      </c>
      <c r="M258" s="12"/>
      <c r="N258" s="12"/>
      <c r="O258" s="12"/>
      <c r="P258" s="12"/>
      <c r="Q258" s="12"/>
      <c r="R258" s="12"/>
      <c r="S258" s="12"/>
      <c r="T258" s="12"/>
      <c r="U258" s="15"/>
      <c r="V258" s="12"/>
      <c r="W258" s="12"/>
      <c r="X258" s="12"/>
      <c r="Y258" s="12"/>
      <c r="Z258" s="12"/>
      <c r="AA258" s="12"/>
      <c r="AB258" s="12"/>
      <c r="AC258" s="12"/>
      <c r="AD258" s="12">
        <f t="shared" ref="AD258:AD321" si="65">SUM(J258:AC258)</f>
        <v>46357.28</v>
      </c>
      <c r="AE258" s="13">
        <f t="shared" ref="AE258:AE321" si="66">AD258-SUM(J258:AC258)</f>
        <v>0</v>
      </c>
      <c r="AF258" s="14">
        <f t="shared" ref="AF258:AF321" si="67">AD258-I258</f>
        <v>0</v>
      </c>
      <c r="AG258" s="13">
        <f t="shared" ref="AG258:AG321" si="68">ROUND(H258,2)</f>
        <v>2624</v>
      </c>
      <c r="AH258" s="13">
        <f t="shared" ref="AH258:AH321" si="69">ROUND(AG258*0.07,2)</f>
        <v>183.68</v>
      </c>
      <c r="AI258" s="13">
        <f t="shared" ref="AI258:AI321" si="70">ROUND(AG258*0.03,2)</f>
        <v>78.72</v>
      </c>
      <c r="AJ258" s="13">
        <f t="shared" ref="AJ258:AJ321" si="71">ROUND(AG258*0.02,2)</f>
        <v>52.48</v>
      </c>
      <c r="AK258" s="13">
        <f t="shared" ref="AK258:AK321" si="72">IF(AR258,Y258/(AR258*1.12)*AR258,0)</f>
        <v>0</v>
      </c>
      <c r="AL258" s="13">
        <f t="shared" ref="AL258:AL321" si="73">ROUND(Y258-AK258,2)</f>
        <v>0</v>
      </c>
      <c r="AM258" s="13">
        <f t="shared" ref="AM258:AM321" si="74">ROUND(AG258-AK258,2)</f>
        <v>2624</v>
      </c>
      <c r="AN258" s="13">
        <f t="shared" ref="AN258:AN321" si="75">ROUND(AM258*0.07,2)</f>
        <v>183.68</v>
      </c>
      <c r="AO258" s="13">
        <f t="shared" ref="AO258:AO321" si="76">ROUND(AM258*0.03,2)</f>
        <v>78.72</v>
      </c>
      <c r="AP258" s="13">
        <f t="shared" ref="AP258:AP321" si="77">ROUND(AH258+AI258+AJ258-AL258-AN258-AO258,2)</f>
        <v>52.48</v>
      </c>
      <c r="AQ258" s="13" t="str">
        <f t="shared" ref="AQ258:AQ321" si="78">"TJ"&amp;A258</f>
        <v>TJ202512201712000272220</v>
      </c>
      <c r="AR258" s="13">
        <f t="shared" ref="AR258:AR321" si="79">IF(E258="无全额",0,MID(E258,4,2)*1)</f>
        <v>0.06</v>
      </c>
    </row>
    <row r="259" ht="15" spans="1:44">
      <c r="A259" s="29" t="s">
        <v>457</v>
      </c>
      <c r="B259" s="12" t="s">
        <v>177</v>
      </c>
      <c r="C259" s="12" t="s">
        <v>54</v>
      </c>
      <c r="D259" s="12" t="s">
        <v>47</v>
      </c>
      <c r="E259" s="12" t="s">
        <v>51</v>
      </c>
      <c r="F259" s="5">
        <f>ROUND(SUMIF([1]开票!$A$2:$A$1750,[1]申请!AQ259,[1]开票!$C$2:$C$1750),2)</f>
        <v>4774.32</v>
      </c>
      <c r="G259" s="5">
        <f>ROUND(SUMIF([1]开票!$A$2:$A$1750,[1]申请!AQ259,[1]开票!$D$2:$D$1750),2)</f>
        <v>0</v>
      </c>
      <c r="H259" s="5">
        <f>ROUND(SUMIF([1]开票!$A$2:$A$1750,[1]申请!AQ259,[1]开票!$E$2:$E$1750),2)</f>
        <v>286.46</v>
      </c>
      <c r="I259" s="5">
        <f t="shared" si="64"/>
        <v>5060.78</v>
      </c>
      <c r="J259" s="12">
        <v>183.26</v>
      </c>
      <c r="K259" s="32"/>
      <c r="L259" s="15"/>
      <c r="M259" s="12"/>
      <c r="N259" s="12"/>
      <c r="O259" s="12"/>
      <c r="P259" s="12"/>
      <c r="Q259" s="12"/>
      <c r="R259" s="12"/>
      <c r="S259" s="12"/>
      <c r="T259" s="12"/>
      <c r="U259" s="20"/>
      <c r="V259" s="20"/>
      <c r="W259" s="12"/>
      <c r="X259" s="15"/>
      <c r="Y259" s="12">
        <v>318.66</v>
      </c>
      <c r="Z259" s="12"/>
      <c r="AA259" s="12">
        <v>4558.86</v>
      </c>
      <c r="AB259" s="12"/>
      <c r="AC259" s="12"/>
      <c r="AD259" s="12">
        <f t="shared" si="65"/>
        <v>5060.78</v>
      </c>
      <c r="AE259" s="13">
        <f t="shared" si="66"/>
        <v>0</v>
      </c>
      <c r="AF259" s="14">
        <f t="shared" si="67"/>
        <v>0</v>
      </c>
      <c r="AG259" s="13">
        <f t="shared" si="68"/>
        <v>286.46</v>
      </c>
      <c r="AH259" s="13">
        <f t="shared" si="69"/>
        <v>20.05</v>
      </c>
      <c r="AI259" s="13">
        <f t="shared" si="70"/>
        <v>8.59</v>
      </c>
      <c r="AJ259" s="13">
        <f t="shared" si="71"/>
        <v>5.73</v>
      </c>
      <c r="AK259" s="13">
        <f t="shared" si="72"/>
        <v>284.517857142857</v>
      </c>
      <c r="AL259" s="13">
        <f t="shared" si="73"/>
        <v>34.14</v>
      </c>
      <c r="AM259" s="13">
        <f t="shared" si="74"/>
        <v>1.94</v>
      </c>
      <c r="AN259" s="13">
        <f t="shared" si="75"/>
        <v>0.14</v>
      </c>
      <c r="AO259" s="13">
        <f t="shared" si="76"/>
        <v>0.06</v>
      </c>
      <c r="AP259" s="13">
        <f t="shared" si="77"/>
        <v>0.03</v>
      </c>
      <c r="AQ259" s="13" t="str">
        <f t="shared" si="78"/>
        <v>TJ202512220922000299912</v>
      </c>
      <c r="AR259" s="13">
        <f t="shared" si="79"/>
        <v>0.06</v>
      </c>
    </row>
    <row r="260" ht="15" spans="1:44">
      <c r="A260" s="15" t="s">
        <v>458</v>
      </c>
      <c r="B260" s="12" t="s">
        <v>459</v>
      </c>
      <c r="C260" s="12" t="s">
        <v>54</v>
      </c>
      <c r="D260" s="12" t="s">
        <v>47</v>
      </c>
      <c r="E260" s="12" t="s">
        <v>51</v>
      </c>
      <c r="F260" s="5">
        <f>ROUND(SUMIF([1]开票!$A$2:$A$1750,[1]申请!AQ260,[1]开票!$C$2:$C$1750),2)</f>
        <v>8505270.87</v>
      </c>
      <c r="G260" s="5">
        <f>ROUND(SUMIF([1]开票!$A$2:$A$1750,[1]申请!AQ260,[1]开票!$D$2:$D$1750),2)</f>
        <v>0</v>
      </c>
      <c r="H260" s="5">
        <f>ROUND(SUMIF([1]开票!$A$2:$A$1750,[1]申请!AQ260,[1]开票!$E$2:$E$1750),2)</f>
        <v>510316.25</v>
      </c>
      <c r="I260" s="5">
        <f t="shared" si="64"/>
        <v>9015587.12</v>
      </c>
      <c r="J260" s="12">
        <v>109972.04</v>
      </c>
      <c r="K260" s="32"/>
      <c r="L260" s="12"/>
      <c r="M260" s="12"/>
      <c r="N260" s="12"/>
      <c r="O260" s="12"/>
      <c r="P260" s="12"/>
      <c r="Q260" s="12"/>
      <c r="R260" s="12"/>
      <c r="S260" s="12">
        <v>4974710.99</v>
      </c>
      <c r="T260" s="12">
        <v>187255.95</v>
      </c>
      <c r="U260" s="20">
        <v>1001965.53</v>
      </c>
      <c r="V260" s="20">
        <v>292201.32</v>
      </c>
      <c r="W260" s="12"/>
      <c r="X260" s="12">
        <v>18968.97</v>
      </c>
      <c r="Y260" s="12">
        <v>567804.36</v>
      </c>
      <c r="Z260" s="12"/>
      <c r="AA260" s="12">
        <v>1862707.96</v>
      </c>
      <c r="AB260" s="12"/>
      <c r="AC260" s="12"/>
      <c r="AD260" s="12">
        <f t="shared" si="65"/>
        <v>9015587.12</v>
      </c>
      <c r="AE260" s="13">
        <f t="shared" si="66"/>
        <v>0</v>
      </c>
      <c r="AF260" s="14">
        <f t="shared" si="67"/>
        <v>0</v>
      </c>
      <c r="AG260" s="13">
        <f t="shared" si="68"/>
        <v>510316.25</v>
      </c>
      <c r="AH260" s="13">
        <f t="shared" si="69"/>
        <v>35722.14</v>
      </c>
      <c r="AI260" s="13">
        <f t="shared" si="70"/>
        <v>15309.49</v>
      </c>
      <c r="AJ260" s="13">
        <f t="shared" si="71"/>
        <v>10206.33</v>
      </c>
      <c r="AK260" s="13">
        <f t="shared" si="72"/>
        <v>506968.178571428</v>
      </c>
      <c r="AL260" s="13">
        <f t="shared" si="73"/>
        <v>60836.18</v>
      </c>
      <c r="AM260" s="13">
        <f t="shared" si="74"/>
        <v>3348.07</v>
      </c>
      <c r="AN260" s="13">
        <f t="shared" si="75"/>
        <v>234.36</v>
      </c>
      <c r="AO260" s="13">
        <f t="shared" si="76"/>
        <v>100.44</v>
      </c>
      <c r="AP260" s="13">
        <f t="shared" si="77"/>
        <v>66.98</v>
      </c>
      <c r="AQ260" s="13" t="str">
        <f t="shared" si="78"/>
        <v>TJ202512220951000525820</v>
      </c>
      <c r="AR260" s="13">
        <f t="shared" si="79"/>
        <v>0.06</v>
      </c>
    </row>
    <row r="261" ht="15" spans="1:44">
      <c r="A261" s="24" t="s">
        <v>460</v>
      </c>
      <c r="B261" s="12" t="s">
        <v>459</v>
      </c>
      <c r="C261" s="12" t="s">
        <v>54</v>
      </c>
      <c r="D261" s="12" t="s">
        <v>47</v>
      </c>
      <c r="E261" s="12" t="s">
        <v>51</v>
      </c>
      <c r="F261" s="5">
        <f>ROUND(SUMIF([1]开票!$A$2:$A$1750,[1]申请!AQ261,[1]开票!$C$2:$C$1750),2)</f>
        <v>950857.47</v>
      </c>
      <c r="G261" s="5">
        <f>ROUND(SUMIF([1]开票!$A$2:$A$1750,[1]申请!AQ261,[1]开票!$D$2:$D$1750),2)</f>
        <v>0</v>
      </c>
      <c r="H261" s="5">
        <f>ROUND(SUMIF([1]开票!$A$2:$A$1750,[1]申请!AQ261,[1]开票!$E$2:$E$1750),2)</f>
        <v>57051.45</v>
      </c>
      <c r="I261" s="5">
        <f t="shared" si="64"/>
        <v>1007908.92</v>
      </c>
      <c r="J261" s="12">
        <v>4865.92</v>
      </c>
      <c r="K261" s="15"/>
      <c r="L261" s="20"/>
      <c r="M261" s="12"/>
      <c r="N261" s="12"/>
      <c r="O261" s="12"/>
      <c r="P261" s="15"/>
      <c r="Q261" s="12"/>
      <c r="R261" s="12"/>
      <c r="S261" s="20">
        <v>728665.35</v>
      </c>
      <c r="T261" s="20">
        <v>107054.2</v>
      </c>
      <c r="U261" s="12">
        <v>68104.45</v>
      </c>
      <c r="V261" s="12">
        <v>20413</v>
      </c>
      <c r="W261" s="12"/>
      <c r="X261" s="12">
        <v>1595.53</v>
      </c>
      <c r="Y261" s="12">
        <v>63466.57</v>
      </c>
      <c r="Z261" s="12"/>
      <c r="AA261" s="12">
        <v>13743.9</v>
      </c>
      <c r="AB261" s="12"/>
      <c r="AC261" s="12"/>
      <c r="AD261" s="12">
        <f t="shared" si="65"/>
        <v>1007908.92</v>
      </c>
      <c r="AE261" s="13">
        <f t="shared" si="66"/>
        <v>0</v>
      </c>
      <c r="AF261" s="14">
        <f t="shared" si="67"/>
        <v>0</v>
      </c>
      <c r="AG261" s="13">
        <f t="shared" si="68"/>
        <v>57051.45</v>
      </c>
      <c r="AH261" s="13">
        <f t="shared" si="69"/>
        <v>3993.6</v>
      </c>
      <c r="AI261" s="13">
        <f t="shared" si="70"/>
        <v>1711.54</v>
      </c>
      <c r="AJ261" s="13">
        <f t="shared" si="71"/>
        <v>1141.03</v>
      </c>
      <c r="AK261" s="13">
        <f t="shared" si="72"/>
        <v>56666.5803571428</v>
      </c>
      <c r="AL261" s="13">
        <f t="shared" si="73"/>
        <v>6799.99</v>
      </c>
      <c r="AM261" s="13">
        <f t="shared" si="74"/>
        <v>384.87</v>
      </c>
      <c r="AN261" s="13">
        <f t="shared" si="75"/>
        <v>26.94</v>
      </c>
      <c r="AO261" s="13">
        <f t="shared" si="76"/>
        <v>11.55</v>
      </c>
      <c r="AP261" s="13">
        <f t="shared" si="77"/>
        <v>7.69</v>
      </c>
      <c r="AQ261" s="13" t="str">
        <f t="shared" si="78"/>
        <v>TJ202512220959000255973</v>
      </c>
      <c r="AR261" s="13">
        <f t="shared" si="79"/>
        <v>0.06</v>
      </c>
    </row>
    <row r="262" ht="15" spans="1:44">
      <c r="A262" s="24" t="s">
        <v>461</v>
      </c>
      <c r="B262" s="12" t="s">
        <v>462</v>
      </c>
      <c r="C262" s="12" t="s">
        <v>54</v>
      </c>
      <c r="D262" s="12" t="s">
        <v>47</v>
      </c>
      <c r="E262" s="12" t="s">
        <v>51</v>
      </c>
      <c r="F262" s="5">
        <f>ROUND(SUMIF([1]开票!$A$2:$A$1750,[1]申请!AQ262,[1]开票!$C$2:$C$1750),2)</f>
        <v>250304.8</v>
      </c>
      <c r="G262" s="5">
        <f>ROUND(SUMIF([1]开票!$A$2:$A$1750,[1]申请!AQ262,[1]开票!$D$2:$D$1750),2)</f>
        <v>0</v>
      </c>
      <c r="H262" s="5">
        <f>ROUND(SUMIF([1]开票!$A$2:$A$1750,[1]申请!AQ262,[1]开票!$E$2:$E$1750),2)</f>
        <v>15018.29</v>
      </c>
      <c r="I262" s="5">
        <f t="shared" si="64"/>
        <v>265323.09</v>
      </c>
      <c r="J262" s="12"/>
      <c r="K262" s="36"/>
      <c r="L262" s="12">
        <v>265323.09</v>
      </c>
      <c r="M262" s="12"/>
      <c r="N262" s="12"/>
      <c r="O262" s="12"/>
      <c r="P262" s="12"/>
      <c r="Q262" s="12"/>
      <c r="R262" s="12"/>
      <c r="S262" s="20"/>
      <c r="T262" s="20"/>
      <c r="U262" s="34"/>
      <c r="V262" s="36"/>
      <c r="W262" s="12"/>
      <c r="X262" s="12"/>
      <c r="Y262" s="12"/>
      <c r="Z262" s="12"/>
      <c r="AA262" s="12"/>
      <c r="AB262" s="12"/>
      <c r="AC262" s="12"/>
      <c r="AD262" s="12">
        <f t="shared" si="65"/>
        <v>265323.09</v>
      </c>
      <c r="AE262" s="13">
        <f t="shared" si="66"/>
        <v>0</v>
      </c>
      <c r="AF262" s="14">
        <f t="shared" si="67"/>
        <v>0</v>
      </c>
      <c r="AG262" s="13">
        <f t="shared" si="68"/>
        <v>15018.29</v>
      </c>
      <c r="AH262" s="13">
        <f t="shared" si="69"/>
        <v>1051.28</v>
      </c>
      <c r="AI262" s="13">
        <f t="shared" si="70"/>
        <v>450.55</v>
      </c>
      <c r="AJ262" s="13">
        <f t="shared" si="71"/>
        <v>300.37</v>
      </c>
      <c r="AK262" s="13">
        <f t="shared" si="72"/>
        <v>0</v>
      </c>
      <c r="AL262" s="13">
        <f t="shared" si="73"/>
        <v>0</v>
      </c>
      <c r="AM262" s="13">
        <f t="shared" si="74"/>
        <v>15018.29</v>
      </c>
      <c r="AN262" s="13">
        <f t="shared" si="75"/>
        <v>1051.28</v>
      </c>
      <c r="AO262" s="13">
        <f t="shared" si="76"/>
        <v>450.55</v>
      </c>
      <c r="AP262" s="13">
        <f t="shared" si="77"/>
        <v>300.37</v>
      </c>
      <c r="AQ262" s="13" t="str">
        <f t="shared" si="78"/>
        <v>TJ202512221132000054375</v>
      </c>
      <c r="AR262" s="13">
        <f t="shared" si="79"/>
        <v>0.06</v>
      </c>
    </row>
    <row r="263" ht="15" spans="1:44">
      <c r="A263" s="24" t="s">
        <v>463</v>
      </c>
      <c r="B263" s="12" t="s">
        <v>464</v>
      </c>
      <c r="C263" s="12" t="s">
        <v>46</v>
      </c>
      <c r="D263" s="12" t="s">
        <v>47</v>
      </c>
      <c r="E263" s="12" t="s">
        <v>77</v>
      </c>
      <c r="F263" s="5">
        <f>ROUND(SUMIF([1]开票!$A$2:$A$1750,[1]申请!AQ263,[1]开票!$C$2:$C$1750),2)</f>
        <v>2921.9</v>
      </c>
      <c r="G263" s="5">
        <f>ROUND(SUMIF([1]开票!$A$2:$A$1750,[1]申请!AQ263,[1]开票!$D$2:$D$1750),2)</f>
        <v>334339.13</v>
      </c>
      <c r="H263" s="5">
        <f>ROUND(SUMIF([1]开票!$A$2:$A$1750,[1]申请!AQ263,[1]开票!$E$2:$E$1750),2)</f>
        <v>146.1</v>
      </c>
      <c r="I263" s="5">
        <f t="shared" si="64"/>
        <v>337407.13</v>
      </c>
      <c r="J263" s="12">
        <v>3068</v>
      </c>
      <c r="K263" s="32"/>
      <c r="L263" s="12"/>
      <c r="M263" s="12"/>
      <c r="N263" s="12"/>
      <c r="O263" s="12"/>
      <c r="P263" s="12"/>
      <c r="Q263" s="12"/>
      <c r="R263" s="12"/>
      <c r="S263" s="16">
        <v>252511.5</v>
      </c>
      <c r="T263" s="12">
        <v>211.3</v>
      </c>
      <c r="U263" s="20">
        <v>80118.07</v>
      </c>
      <c r="V263" s="12"/>
      <c r="W263" s="12"/>
      <c r="X263" s="12">
        <v>1498.26</v>
      </c>
      <c r="Y263" s="12"/>
      <c r="Z263" s="12"/>
      <c r="AA263" s="12"/>
      <c r="AB263" s="12"/>
      <c r="AC263" s="12"/>
      <c r="AD263" s="12">
        <f t="shared" si="65"/>
        <v>337407.13</v>
      </c>
      <c r="AE263" s="13">
        <f t="shared" si="66"/>
        <v>0</v>
      </c>
      <c r="AF263" s="14">
        <f t="shared" si="67"/>
        <v>0</v>
      </c>
      <c r="AG263" s="13">
        <f t="shared" si="68"/>
        <v>146.1</v>
      </c>
      <c r="AH263" s="13">
        <f t="shared" si="69"/>
        <v>10.23</v>
      </c>
      <c r="AI263" s="13">
        <f t="shared" si="70"/>
        <v>4.38</v>
      </c>
      <c r="AJ263" s="13">
        <f t="shared" si="71"/>
        <v>2.92</v>
      </c>
      <c r="AK263" s="13">
        <f t="shared" si="72"/>
        <v>0</v>
      </c>
      <c r="AL263" s="13">
        <f t="shared" si="73"/>
        <v>0</v>
      </c>
      <c r="AM263" s="13">
        <f t="shared" si="74"/>
        <v>146.1</v>
      </c>
      <c r="AN263" s="13">
        <f t="shared" si="75"/>
        <v>10.23</v>
      </c>
      <c r="AO263" s="13">
        <f t="shared" si="76"/>
        <v>4.38</v>
      </c>
      <c r="AP263" s="13">
        <f t="shared" si="77"/>
        <v>2.92</v>
      </c>
      <c r="AQ263" s="13" t="str">
        <f t="shared" si="78"/>
        <v>TJ202512221132000552841</v>
      </c>
      <c r="AR263" s="13">
        <f t="shared" si="79"/>
        <v>0.05</v>
      </c>
    </row>
    <row r="264" spans="1:44">
      <c r="A264" s="25" t="s">
        <v>465</v>
      </c>
      <c r="B264" s="12" t="s">
        <v>466</v>
      </c>
      <c r="C264" s="12" t="s">
        <v>46</v>
      </c>
      <c r="D264" s="12" t="s">
        <v>47</v>
      </c>
      <c r="E264" s="12" t="s">
        <v>77</v>
      </c>
      <c r="F264" s="5">
        <f>ROUND(SUMIF([1]开票!$A$2:$A$1750,[1]申请!AQ264,[1]开票!$C$2:$C$1750),2)</f>
        <v>247.62</v>
      </c>
      <c r="G264" s="5">
        <f>ROUND(SUMIF([1]开票!$A$2:$A$1750,[1]申请!AQ264,[1]开票!$D$2:$D$1750),2)</f>
        <v>26992.37</v>
      </c>
      <c r="H264" s="5">
        <f>ROUND(SUMIF([1]开票!$A$2:$A$1750,[1]申请!AQ264,[1]开票!$E$2:$E$1750),2)</f>
        <v>12.38</v>
      </c>
      <c r="I264" s="5">
        <f t="shared" si="64"/>
        <v>27252.37</v>
      </c>
      <c r="J264" s="12">
        <v>260</v>
      </c>
      <c r="K264" s="12"/>
      <c r="L264" s="34"/>
      <c r="M264" s="34"/>
      <c r="N264" s="12"/>
      <c r="O264" s="12"/>
      <c r="P264" s="15"/>
      <c r="Q264" s="12"/>
      <c r="R264" s="12"/>
      <c r="S264" s="12">
        <v>20109.78</v>
      </c>
      <c r="T264" s="12">
        <v>7.14</v>
      </c>
      <c r="U264" s="12">
        <v>6750.2</v>
      </c>
      <c r="V264" s="12"/>
      <c r="W264" s="12"/>
      <c r="X264" s="12">
        <v>125.25</v>
      </c>
      <c r="Y264" s="12"/>
      <c r="Z264" s="12"/>
      <c r="AA264" s="12"/>
      <c r="AB264" s="12"/>
      <c r="AC264" s="12"/>
      <c r="AD264" s="12">
        <f t="shared" si="65"/>
        <v>27252.37</v>
      </c>
      <c r="AE264" s="13">
        <f t="shared" si="66"/>
        <v>0</v>
      </c>
      <c r="AF264" s="14">
        <f t="shared" si="67"/>
        <v>0</v>
      </c>
      <c r="AG264" s="13">
        <f t="shared" si="68"/>
        <v>12.38</v>
      </c>
      <c r="AH264" s="13">
        <f t="shared" si="69"/>
        <v>0.87</v>
      </c>
      <c r="AI264" s="13">
        <f t="shared" si="70"/>
        <v>0.37</v>
      </c>
      <c r="AJ264" s="13">
        <f t="shared" si="71"/>
        <v>0.25</v>
      </c>
      <c r="AK264" s="13">
        <f t="shared" si="72"/>
        <v>0</v>
      </c>
      <c r="AL264" s="13">
        <f t="shared" si="73"/>
        <v>0</v>
      </c>
      <c r="AM264" s="13">
        <f t="shared" si="74"/>
        <v>12.38</v>
      </c>
      <c r="AN264" s="13">
        <f t="shared" si="75"/>
        <v>0.87</v>
      </c>
      <c r="AO264" s="13">
        <f t="shared" si="76"/>
        <v>0.37</v>
      </c>
      <c r="AP264" s="13">
        <f t="shared" si="77"/>
        <v>0.25</v>
      </c>
      <c r="AQ264" s="13" t="str">
        <f t="shared" si="78"/>
        <v>TJ202512221139000269074</v>
      </c>
      <c r="AR264" s="13">
        <f t="shared" si="79"/>
        <v>0.05</v>
      </c>
    </row>
    <row r="265" spans="1:44">
      <c r="A265" s="25" t="s">
        <v>467</v>
      </c>
      <c r="B265" s="12" t="s">
        <v>466</v>
      </c>
      <c r="C265" s="12" t="s">
        <v>46</v>
      </c>
      <c r="D265" s="12" t="s">
        <v>47</v>
      </c>
      <c r="E265" s="12" t="s">
        <v>109</v>
      </c>
      <c r="F265" s="5">
        <f>ROUND(SUMIF([1]开票!$A$2:$A$1750,[1]申请!AQ265,[1]开票!$C$2:$C$1750),2)</f>
        <v>179.25</v>
      </c>
      <c r="G265" s="5">
        <f>ROUND(SUMIF([1]开票!$A$2:$A$1750,[1]申请!AQ265,[1]开票!$D$2:$D$1750),2)</f>
        <v>0</v>
      </c>
      <c r="H265" s="5">
        <f>ROUND(SUMIF([1]开票!$A$2:$A$1750,[1]申请!AQ265,[1]开票!$E$2:$E$1750),2)</f>
        <v>10.75</v>
      </c>
      <c r="I265" s="5">
        <f t="shared" si="64"/>
        <v>190</v>
      </c>
      <c r="J265" s="12"/>
      <c r="K265" s="12"/>
      <c r="L265" s="34"/>
      <c r="M265" s="34"/>
      <c r="N265" s="12"/>
      <c r="O265" s="12"/>
      <c r="P265" s="12"/>
      <c r="Q265" s="12"/>
      <c r="R265" s="12"/>
      <c r="S265" s="23"/>
      <c r="T265" s="23"/>
      <c r="U265" s="12"/>
      <c r="V265" s="12"/>
      <c r="W265" s="12">
        <v>190</v>
      </c>
      <c r="X265" s="12"/>
      <c r="Y265" s="12"/>
      <c r="Z265" s="12"/>
      <c r="AA265" s="12"/>
      <c r="AB265" s="12"/>
      <c r="AC265" s="12"/>
      <c r="AD265" s="12">
        <f t="shared" si="65"/>
        <v>190</v>
      </c>
      <c r="AE265" s="13">
        <f t="shared" si="66"/>
        <v>0</v>
      </c>
      <c r="AF265" s="14">
        <f t="shared" si="67"/>
        <v>0</v>
      </c>
      <c r="AG265" s="13">
        <f t="shared" si="68"/>
        <v>10.75</v>
      </c>
      <c r="AH265" s="13">
        <f t="shared" si="69"/>
        <v>0.75</v>
      </c>
      <c r="AI265" s="13">
        <f t="shared" si="70"/>
        <v>0.32</v>
      </c>
      <c r="AJ265" s="13">
        <f t="shared" si="71"/>
        <v>0.22</v>
      </c>
      <c r="AK265" s="13">
        <f t="shared" si="72"/>
        <v>0</v>
      </c>
      <c r="AL265" s="13">
        <f t="shared" si="73"/>
        <v>0</v>
      </c>
      <c r="AM265" s="13">
        <f t="shared" si="74"/>
        <v>10.75</v>
      </c>
      <c r="AN265" s="13">
        <f t="shared" si="75"/>
        <v>0.75</v>
      </c>
      <c r="AO265" s="13">
        <f t="shared" si="76"/>
        <v>0.32</v>
      </c>
      <c r="AP265" s="13">
        <f t="shared" si="77"/>
        <v>0.22</v>
      </c>
      <c r="AQ265" s="13" t="str">
        <f t="shared" si="78"/>
        <v>TJ202512221140000212655</v>
      </c>
      <c r="AR265" s="13">
        <f t="shared" si="79"/>
        <v>0.06</v>
      </c>
    </row>
    <row r="266" spans="1:44">
      <c r="A266" s="25" t="s">
        <v>468</v>
      </c>
      <c r="B266" s="12" t="s">
        <v>450</v>
      </c>
      <c r="C266" s="12" t="s">
        <v>54</v>
      </c>
      <c r="D266" s="12" t="s">
        <v>47</v>
      </c>
      <c r="E266" s="12" t="s">
        <v>51</v>
      </c>
      <c r="F266" s="5">
        <f>ROUND(SUMIF([1]开票!$A$2:$A$1750,[1]申请!AQ266,[1]开票!$C$2:$C$1750),2)</f>
        <v>315659</v>
      </c>
      <c r="G266" s="5">
        <f>ROUND(SUMIF([1]开票!$A$2:$A$1750,[1]申请!AQ266,[1]开票!$D$2:$D$1750),2)</f>
        <v>0</v>
      </c>
      <c r="H266" s="5">
        <f>ROUND(SUMIF([1]开票!$A$2:$A$1750,[1]申请!AQ266,[1]开票!$E$2:$E$1750),2)</f>
        <v>18939.54</v>
      </c>
      <c r="I266" s="5">
        <f t="shared" si="64"/>
        <v>334598.54</v>
      </c>
      <c r="J266" s="12">
        <v>3755</v>
      </c>
      <c r="K266" s="36"/>
      <c r="L266" s="12"/>
      <c r="M266" s="23"/>
      <c r="N266" s="15"/>
      <c r="O266" s="12"/>
      <c r="P266" s="12"/>
      <c r="Q266" s="12"/>
      <c r="R266" s="12"/>
      <c r="S266" s="34">
        <v>303382.61</v>
      </c>
      <c r="T266" s="34"/>
      <c r="U266" s="12">
        <v>340.54</v>
      </c>
      <c r="V266" s="12"/>
      <c r="W266" s="12">
        <v>6110</v>
      </c>
      <c r="X266" s="12"/>
      <c r="Y266" s="12">
        <v>21010.39</v>
      </c>
      <c r="Z266" s="12"/>
      <c r="AA266" s="12"/>
      <c r="AB266" s="12"/>
      <c r="AC266" s="12"/>
      <c r="AD266" s="12">
        <f t="shared" si="65"/>
        <v>334598.54</v>
      </c>
      <c r="AE266" s="13">
        <f t="shared" si="66"/>
        <v>0</v>
      </c>
      <c r="AF266" s="14">
        <f t="shared" si="67"/>
        <v>0</v>
      </c>
      <c r="AG266" s="13">
        <f t="shared" si="68"/>
        <v>18939.54</v>
      </c>
      <c r="AH266" s="13">
        <f t="shared" si="69"/>
        <v>1325.77</v>
      </c>
      <c r="AI266" s="13">
        <f t="shared" si="70"/>
        <v>568.19</v>
      </c>
      <c r="AJ266" s="13">
        <f t="shared" si="71"/>
        <v>378.79</v>
      </c>
      <c r="AK266" s="13">
        <f t="shared" si="72"/>
        <v>18759.2767857143</v>
      </c>
      <c r="AL266" s="13">
        <f t="shared" si="73"/>
        <v>2251.11</v>
      </c>
      <c r="AM266" s="13">
        <f t="shared" si="74"/>
        <v>180.26</v>
      </c>
      <c r="AN266" s="13">
        <f t="shared" si="75"/>
        <v>12.62</v>
      </c>
      <c r="AO266" s="13">
        <f t="shared" si="76"/>
        <v>5.41</v>
      </c>
      <c r="AP266" s="13">
        <f t="shared" si="77"/>
        <v>3.61</v>
      </c>
      <c r="AQ266" s="13" t="str">
        <f t="shared" si="78"/>
        <v>TJ202512221343000100668</v>
      </c>
      <c r="AR266" s="13">
        <f t="shared" si="79"/>
        <v>0.06</v>
      </c>
    </row>
    <row r="267" spans="1:44">
      <c r="A267" s="31" t="s">
        <v>469</v>
      </c>
      <c r="B267" s="12" t="s">
        <v>470</v>
      </c>
      <c r="C267" s="12" t="s">
        <v>46</v>
      </c>
      <c r="D267" s="12" t="s">
        <v>47</v>
      </c>
      <c r="E267" s="12" t="s">
        <v>48</v>
      </c>
      <c r="F267" s="5">
        <f>ROUND(SUMIF([1]开票!$A$2:$A$1750,[1]申请!AQ267,[1]开票!$C$2:$C$1750),2)</f>
        <v>285.71</v>
      </c>
      <c r="G267" s="5">
        <f>ROUND(SUMIF([1]开票!$A$2:$A$1750,[1]申请!AQ267,[1]开票!$D$2:$D$1750),2)</f>
        <v>47923.26</v>
      </c>
      <c r="H267" s="5">
        <f>ROUND(SUMIF([1]开票!$A$2:$A$1750,[1]申请!AQ267,[1]开票!$E$2:$E$1750),2)</f>
        <v>14.29</v>
      </c>
      <c r="I267" s="5">
        <f t="shared" si="64"/>
        <v>48223.26</v>
      </c>
      <c r="J267" s="15"/>
      <c r="K267" s="16"/>
      <c r="L267" s="28">
        <v>300</v>
      </c>
      <c r="M267" s="12"/>
      <c r="N267" s="12"/>
      <c r="O267" s="12"/>
      <c r="P267" s="12"/>
      <c r="Q267" s="12"/>
      <c r="R267" s="12"/>
      <c r="S267" s="15">
        <v>33136.58</v>
      </c>
      <c r="T267" s="15">
        <v>0</v>
      </c>
      <c r="U267" s="15">
        <v>14786.68</v>
      </c>
      <c r="V267" s="15"/>
      <c r="W267" s="12"/>
      <c r="X267" s="12"/>
      <c r="Y267" s="12"/>
      <c r="Z267" s="12"/>
      <c r="AA267" s="12"/>
      <c r="AB267" s="12"/>
      <c r="AC267" s="12"/>
      <c r="AD267" s="12">
        <f t="shared" si="65"/>
        <v>48223.26</v>
      </c>
      <c r="AE267" s="13">
        <f t="shared" si="66"/>
        <v>0</v>
      </c>
      <c r="AF267" s="14">
        <f t="shared" si="67"/>
        <v>0</v>
      </c>
      <c r="AG267" s="13">
        <f t="shared" si="68"/>
        <v>14.29</v>
      </c>
      <c r="AH267" s="13">
        <f t="shared" si="69"/>
        <v>1</v>
      </c>
      <c r="AI267" s="13">
        <f t="shared" si="70"/>
        <v>0.43</v>
      </c>
      <c r="AJ267" s="13">
        <f t="shared" si="71"/>
        <v>0.29</v>
      </c>
      <c r="AK267" s="13">
        <f t="shared" si="72"/>
        <v>0</v>
      </c>
      <c r="AL267" s="13">
        <f t="shared" si="73"/>
        <v>0</v>
      </c>
      <c r="AM267" s="13">
        <f t="shared" si="74"/>
        <v>14.29</v>
      </c>
      <c r="AN267" s="13">
        <f t="shared" si="75"/>
        <v>1</v>
      </c>
      <c r="AO267" s="13">
        <f t="shared" si="76"/>
        <v>0.43</v>
      </c>
      <c r="AP267" s="13">
        <f t="shared" si="77"/>
        <v>0.29</v>
      </c>
      <c r="AQ267" s="13" t="str">
        <f t="shared" si="78"/>
        <v>TJ202512221355000421706</v>
      </c>
      <c r="AR267" s="13">
        <f t="shared" si="79"/>
        <v>0.05</v>
      </c>
    </row>
    <row r="268" spans="1:44">
      <c r="A268" s="40" t="s">
        <v>471</v>
      </c>
      <c r="B268" s="12" t="s">
        <v>472</v>
      </c>
      <c r="C268" s="12" t="s">
        <v>46</v>
      </c>
      <c r="D268" s="12" t="s">
        <v>47</v>
      </c>
      <c r="E268" s="12" t="s">
        <v>77</v>
      </c>
      <c r="F268" s="5">
        <f>ROUND(SUMIF([1]开票!$A$2:$A$1750,[1]申请!AQ268,[1]开票!$C$2:$C$1750),2)</f>
        <v>1386.67</v>
      </c>
      <c r="G268" s="5">
        <f>ROUND(SUMIF([1]开票!$A$2:$A$1750,[1]申请!AQ268,[1]开票!$D$2:$D$1750),2)</f>
        <v>137364.79</v>
      </c>
      <c r="H268" s="5">
        <f>ROUND(SUMIF([1]开票!$A$2:$A$1750,[1]申请!AQ268,[1]开票!$E$2:$E$1750),2)</f>
        <v>69.33</v>
      </c>
      <c r="I268" s="5">
        <f t="shared" si="64"/>
        <v>138820.79</v>
      </c>
      <c r="J268" s="12">
        <v>1456</v>
      </c>
      <c r="K268" s="15"/>
      <c r="L268" s="15"/>
      <c r="M268" s="12"/>
      <c r="N268" s="12"/>
      <c r="O268" s="12"/>
      <c r="P268" s="12"/>
      <c r="Q268" s="12"/>
      <c r="R268" s="12"/>
      <c r="S268" s="12">
        <v>116701.59</v>
      </c>
      <c r="T268" s="12">
        <v>17.14</v>
      </c>
      <c r="U268" s="15">
        <v>20646.06</v>
      </c>
      <c r="V268" s="34"/>
      <c r="W268" s="12"/>
      <c r="X268" s="12"/>
      <c r="Y268" s="12"/>
      <c r="Z268" s="12"/>
      <c r="AA268" s="12"/>
      <c r="AB268" s="12"/>
      <c r="AC268" s="12"/>
      <c r="AD268" s="12">
        <f t="shared" si="65"/>
        <v>138820.79</v>
      </c>
      <c r="AE268" s="13">
        <f t="shared" si="66"/>
        <v>0</v>
      </c>
      <c r="AF268" s="14">
        <f t="shared" si="67"/>
        <v>0</v>
      </c>
      <c r="AG268" s="13">
        <f t="shared" si="68"/>
        <v>69.33</v>
      </c>
      <c r="AH268" s="13">
        <f t="shared" si="69"/>
        <v>4.85</v>
      </c>
      <c r="AI268" s="13">
        <f t="shared" si="70"/>
        <v>2.08</v>
      </c>
      <c r="AJ268" s="13">
        <f t="shared" si="71"/>
        <v>1.39</v>
      </c>
      <c r="AK268" s="13">
        <f t="shared" si="72"/>
        <v>0</v>
      </c>
      <c r="AL268" s="13">
        <f t="shared" si="73"/>
        <v>0</v>
      </c>
      <c r="AM268" s="13">
        <f t="shared" si="74"/>
        <v>69.33</v>
      </c>
      <c r="AN268" s="13">
        <f t="shared" si="75"/>
        <v>4.85</v>
      </c>
      <c r="AO268" s="13">
        <f t="shared" si="76"/>
        <v>2.08</v>
      </c>
      <c r="AP268" s="13">
        <f t="shared" si="77"/>
        <v>1.39</v>
      </c>
      <c r="AQ268" s="13" t="str">
        <f t="shared" si="78"/>
        <v>TJ202512221356000065174</v>
      </c>
      <c r="AR268" s="13">
        <f t="shared" si="79"/>
        <v>0.05</v>
      </c>
    </row>
    <row r="269" ht="15" spans="1:44">
      <c r="A269" s="31" t="s">
        <v>473</v>
      </c>
      <c r="B269" s="12" t="s">
        <v>472</v>
      </c>
      <c r="C269" s="12" t="s">
        <v>46</v>
      </c>
      <c r="D269" s="12" t="s">
        <v>47</v>
      </c>
      <c r="E269" s="12" t="s">
        <v>109</v>
      </c>
      <c r="F269" s="5">
        <f>ROUND(SUMIF([1]开票!$A$2:$A$1750,[1]申请!AQ269,[1]开票!$C$2:$C$1750),2)</f>
        <v>316.98</v>
      </c>
      <c r="G269" s="5">
        <f>ROUND(SUMIF([1]开票!$A$2:$A$1750,[1]申请!AQ269,[1]开票!$D$2:$D$1750),2)</f>
        <v>0</v>
      </c>
      <c r="H269" s="5">
        <f>ROUND(SUMIF([1]开票!$A$2:$A$1750,[1]申请!AQ269,[1]开票!$E$2:$E$1750),2)</f>
        <v>19.02</v>
      </c>
      <c r="I269" s="5">
        <f t="shared" si="64"/>
        <v>336</v>
      </c>
      <c r="J269" s="12"/>
      <c r="K269" s="16"/>
      <c r="L269" s="20"/>
      <c r="M269" s="12"/>
      <c r="N269" s="12"/>
      <c r="O269" s="12"/>
      <c r="P269" s="12"/>
      <c r="Q269" s="12"/>
      <c r="R269" s="12"/>
      <c r="S269" s="12"/>
      <c r="T269" s="12"/>
      <c r="U269" s="34"/>
      <c r="V269" s="12"/>
      <c r="W269" s="12">
        <v>336</v>
      </c>
      <c r="X269" s="12"/>
      <c r="Y269" s="12"/>
      <c r="Z269" s="12"/>
      <c r="AA269" s="12"/>
      <c r="AB269" s="12"/>
      <c r="AC269" s="12"/>
      <c r="AD269" s="12">
        <f t="shared" si="65"/>
        <v>336</v>
      </c>
      <c r="AE269" s="13">
        <f t="shared" si="66"/>
        <v>0</v>
      </c>
      <c r="AF269" s="14">
        <f t="shared" si="67"/>
        <v>0</v>
      </c>
      <c r="AG269" s="13">
        <f t="shared" si="68"/>
        <v>19.02</v>
      </c>
      <c r="AH269" s="13">
        <f t="shared" si="69"/>
        <v>1.33</v>
      </c>
      <c r="AI269" s="13">
        <f t="shared" si="70"/>
        <v>0.57</v>
      </c>
      <c r="AJ269" s="13">
        <f t="shared" si="71"/>
        <v>0.38</v>
      </c>
      <c r="AK269" s="13">
        <f t="shared" si="72"/>
        <v>0</v>
      </c>
      <c r="AL269" s="13">
        <f t="shared" si="73"/>
        <v>0</v>
      </c>
      <c r="AM269" s="13">
        <f t="shared" si="74"/>
        <v>19.02</v>
      </c>
      <c r="AN269" s="13">
        <f t="shared" si="75"/>
        <v>1.33</v>
      </c>
      <c r="AO269" s="13">
        <f t="shared" si="76"/>
        <v>0.57</v>
      </c>
      <c r="AP269" s="13">
        <f t="shared" si="77"/>
        <v>0.38</v>
      </c>
      <c r="AQ269" s="13" t="str">
        <f t="shared" si="78"/>
        <v>TJ202512221356000498935</v>
      </c>
      <c r="AR269" s="13">
        <f t="shared" si="79"/>
        <v>0.06</v>
      </c>
    </row>
    <row r="270" ht="15" spans="1:44">
      <c r="A270" s="24" t="s">
        <v>474</v>
      </c>
      <c r="B270" s="12" t="s">
        <v>57</v>
      </c>
      <c r="C270" s="12" t="s">
        <v>54</v>
      </c>
      <c r="D270" s="12" t="s">
        <v>55</v>
      </c>
      <c r="E270" s="12" t="s">
        <v>51</v>
      </c>
      <c r="F270" s="5">
        <f>ROUND(SUMIF([1]开票!$A$2:$A$1750,[1]申请!AQ270,[1]开票!$C$2:$C$1750),2)</f>
        <v>2328705.65</v>
      </c>
      <c r="G270" s="5">
        <f>ROUND(SUMIF([1]开票!$A$2:$A$1750,[1]申请!AQ270,[1]开票!$D$2:$D$1750),2)</f>
        <v>0</v>
      </c>
      <c r="H270" s="5">
        <f>ROUND(SUMIF([1]开票!$A$2:$A$1750,[1]申请!AQ270,[1]开票!$E$2:$E$1750),2)</f>
        <v>139722.34</v>
      </c>
      <c r="I270" s="5">
        <f t="shared" si="64"/>
        <v>2468427.99</v>
      </c>
      <c r="J270" s="12">
        <v>2468427.99</v>
      </c>
      <c r="K270" s="32"/>
      <c r="L270" s="20"/>
      <c r="M270" s="12"/>
      <c r="N270" s="12"/>
      <c r="O270" s="12"/>
      <c r="P270" s="12"/>
      <c r="Q270" s="12"/>
      <c r="R270" s="12"/>
      <c r="S270" s="20"/>
      <c r="T270" s="20"/>
      <c r="U270" s="34"/>
      <c r="V270" s="34"/>
      <c r="W270" s="12"/>
      <c r="X270" s="16"/>
      <c r="Y270" s="12"/>
      <c r="Z270" s="12"/>
      <c r="AA270" s="12"/>
      <c r="AB270" s="12"/>
      <c r="AC270" s="12"/>
      <c r="AD270" s="12">
        <f t="shared" si="65"/>
        <v>2468427.99</v>
      </c>
      <c r="AE270" s="13">
        <f t="shared" si="66"/>
        <v>0</v>
      </c>
      <c r="AF270" s="14">
        <f t="shared" si="67"/>
        <v>0</v>
      </c>
      <c r="AG270" s="13">
        <f t="shared" si="68"/>
        <v>139722.34</v>
      </c>
      <c r="AH270" s="13">
        <f t="shared" si="69"/>
        <v>9780.56</v>
      </c>
      <c r="AI270" s="13">
        <f t="shared" si="70"/>
        <v>4191.67</v>
      </c>
      <c r="AJ270" s="13">
        <f t="shared" si="71"/>
        <v>2794.45</v>
      </c>
      <c r="AK270" s="13">
        <f t="shared" si="72"/>
        <v>0</v>
      </c>
      <c r="AL270" s="13">
        <f t="shared" si="73"/>
        <v>0</v>
      </c>
      <c r="AM270" s="13">
        <f t="shared" si="74"/>
        <v>139722.34</v>
      </c>
      <c r="AN270" s="13">
        <f t="shared" si="75"/>
        <v>9780.56</v>
      </c>
      <c r="AO270" s="13">
        <f t="shared" si="76"/>
        <v>4191.67</v>
      </c>
      <c r="AP270" s="13">
        <f t="shared" si="77"/>
        <v>2794.45</v>
      </c>
      <c r="AQ270" s="13" t="str">
        <f t="shared" si="78"/>
        <v>TJ202512221410000231549</v>
      </c>
      <c r="AR270" s="13">
        <f t="shared" si="79"/>
        <v>0.06</v>
      </c>
    </row>
    <row r="271" ht="15" spans="1:44">
      <c r="A271" s="41" t="s">
        <v>475</v>
      </c>
      <c r="B271" s="12" t="s">
        <v>476</v>
      </c>
      <c r="C271" s="12" t="s">
        <v>46</v>
      </c>
      <c r="D271" s="12" t="s">
        <v>47</v>
      </c>
      <c r="E271" s="12" t="s">
        <v>48</v>
      </c>
      <c r="F271" s="5">
        <f>ROUND(SUMIF([1]开票!$A$2:$A$1750,[1]申请!AQ271,[1]开票!$C$2:$C$1750),2)</f>
        <v>445.71</v>
      </c>
      <c r="G271" s="5">
        <f>ROUND(SUMIF([1]开票!$A$2:$A$1750,[1]申请!AQ271,[1]开票!$D$2:$D$1750),2)</f>
        <v>44414.39</v>
      </c>
      <c r="H271" s="5">
        <f>ROUND(SUMIF([1]开票!$A$2:$A$1750,[1]申请!AQ271,[1]开票!$E$2:$E$1750),2)</f>
        <v>22.29</v>
      </c>
      <c r="I271" s="5">
        <f t="shared" si="64"/>
        <v>44882.39</v>
      </c>
      <c r="J271" s="15">
        <v>468</v>
      </c>
      <c r="K271" s="16"/>
      <c r="L271" s="12"/>
      <c r="M271" s="12"/>
      <c r="N271" s="12"/>
      <c r="O271" s="12"/>
      <c r="P271" s="12"/>
      <c r="Q271" s="12"/>
      <c r="R271" s="12"/>
      <c r="S271" s="20">
        <v>29506.83</v>
      </c>
      <c r="T271" s="20">
        <v>0</v>
      </c>
      <c r="U271" s="20">
        <v>13957.56</v>
      </c>
      <c r="V271" s="34">
        <v>500</v>
      </c>
      <c r="W271" s="12"/>
      <c r="X271" s="12">
        <v>450</v>
      </c>
      <c r="Y271" s="12"/>
      <c r="Z271" s="12"/>
      <c r="AA271" s="12"/>
      <c r="AB271" s="12"/>
      <c r="AC271" s="12"/>
      <c r="AD271" s="12">
        <f t="shared" si="65"/>
        <v>44882.39</v>
      </c>
      <c r="AE271" s="13">
        <f t="shared" si="66"/>
        <v>0</v>
      </c>
      <c r="AF271" s="14">
        <f t="shared" si="67"/>
        <v>0</v>
      </c>
      <c r="AG271" s="13">
        <f t="shared" si="68"/>
        <v>22.29</v>
      </c>
      <c r="AH271" s="13">
        <f t="shared" si="69"/>
        <v>1.56</v>
      </c>
      <c r="AI271" s="13">
        <f t="shared" si="70"/>
        <v>0.67</v>
      </c>
      <c r="AJ271" s="13">
        <f t="shared" si="71"/>
        <v>0.45</v>
      </c>
      <c r="AK271" s="13">
        <f t="shared" si="72"/>
        <v>0</v>
      </c>
      <c r="AL271" s="13">
        <f t="shared" si="73"/>
        <v>0</v>
      </c>
      <c r="AM271" s="13">
        <f t="shared" si="74"/>
        <v>22.29</v>
      </c>
      <c r="AN271" s="13">
        <f t="shared" si="75"/>
        <v>1.56</v>
      </c>
      <c r="AO271" s="13">
        <f t="shared" si="76"/>
        <v>0.67</v>
      </c>
      <c r="AP271" s="13">
        <f t="shared" si="77"/>
        <v>0.45</v>
      </c>
      <c r="AQ271" s="13" t="str">
        <f t="shared" si="78"/>
        <v>TJ202512221411000567159</v>
      </c>
      <c r="AR271" s="13">
        <f t="shared" si="79"/>
        <v>0.05</v>
      </c>
    </row>
    <row r="272" ht="15" spans="1:44">
      <c r="A272" s="31" t="s">
        <v>477</v>
      </c>
      <c r="B272" s="12" t="s">
        <v>478</v>
      </c>
      <c r="C272" s="12" t="s">
        <v>54</v>
      </c>
      <c r="D272" s="12" t="s">
        <v>55</v>
      </c>
      <c r="E272" s="12" t="s">
        <v>51</v>
      </c>
      <c r="F272" s="5">
        <f>ROUND(SUMIF([1]开票!$A$2:$A$1750,[1]申请!AQ272,[1]开票!$C$2:$C$1750),2)</f>
        <v>37390</v>
      </c>
      <c r="G272" s="5">
        <f>ROUND(SUMIF([1]开票!$A$2:$A$1750,[1]申请!AQ272,[1]开票!$D$2:$D$1750),2)</f>
        <v>0</v>
      </c>
      <c r="H272" s="5">
        <f>ROUND(SUMIF([1]开票!$A$2:$A$1750,[1]申请!AQ272,[1]开票!$E$2:$E$1750),2)</f>
        <v>2243.4</v>
      </c>
      <c r="I272" s="5">
        <f t="shared" si="64"/>
        <v>39633.4</v>
      </c>
      <c r="J272" s="12"/>
      <c r="K272" s="16"/>
      <c r="L272" s="15">
        <v>39633.4</v>
      </c>
      <c r="M272" s="12"/>
      <c r="N272" s="12"/>
      <c r="O272" s="12"/>
      <c r="P272" s="12"/>
      <c r="Q272" s="12"/>
      <c r="R272" s="12"/>
      <c r="S272" s="15"/>
      <c r="T272" s="12"/>
      <c r="U272" s="20"/>
      <c r="V272" s="12"/>
      <c r="W272" s="12"/>
      <c r="X272" s="12"/>
      <c r="Y272" s="12"/>
      <c r="Z272" s="12"/>
      <c r="AA272" s="12"/>
      <c r="AB272" s="12"/>
      <c r="AC272" s="12"/>
      <c r="AD272" s="12">
        <f t="shared" si="65"/>
        <v>39633.4</v>
      </c>
      <c r="AE272" s="13">
        <f t="shared" si="66"/>
        <v>0</v>
      </c>
      <c r="AF272" s="14">
        <f t="shared" si="67"/>
        <v>0</v>
      </c>
      <c r="AG272" s="13">
        <f t="shared" si="68"/>
        <v>2243.4</v>
      </c>
      <c r="AH272" s="13">
        <f t="shared" si="69"/>
        <v>157.04</v>
      </c>
      <c r="AI272" s="13">
        <f t="shared" si="70"/>
        <v>67.3</v>
      </c>
      <c r="AJ272" s="13">
        <f t="shared" si="71"/>
        <v>44.87</v>
      </c>
      <c r="AK272" s="13">
        <f t="shared" si="72"/>
        <v>0</v>
      </c>
      <c r="AL272" s="13">
        <f t="shared" si="73"/>
        <v>0</v>
      </c>
      <c r="AM272" s="13">
        <f t="shared" si="74"/>
        <v>2243.4</v>
      </c>
      <c r="AN272" s="13">
        <f t="shared" si="75"/>
        <v>157.04</v>
      </c>
      <c r="AO272" s="13">
        <f t="shared" si="76"/>
        <v>67.3</v>
      </c>
      <c r="AP272" s="13">
        <f t="shared" si="77"/>
        <v>44.87</v>
      </c>
      <c r="AQ272" s="13" t="str">
        <f t="shared" si="78"/>
        <v>TJ202512221412000451616</v>
      </c>
      <c r="AR272" s="13">
        <f t="shared" si="79"/>
        <v>0.06</v>
      </c>
    </row>
    <row r="273" ht="15" spans="1:44">
      <c r="A273" s="31" t="s">
        <v>479</v>
      </c>
      <c r="B273" s="12" t="s">
        <v>480</v>
      </c>
      <c r="C273" s="12" t="s">
        <v>46</v>
      </c>
      <c r="D273" s="12" t="s">
        <v>47</v>
      </c>
      <c r="E273" s="12" t="s">
        <v>109</v>
      </c>
      <c r="F273" s="5">
        <f>ROUND(SUMIF([1]开票!$A$2:$A$1750,[1]申请!AQ273,[1]开票!$C$2:$C$1750),2)</f>
        <v>84.91</v>
      </c>
      <c r="G273" s="5">
        <f>ROUND(SUMIF([1]开票!$A$2:$A$1750,[1]申请!AQ273,[1]开票!$D$2:$D$1750),2)</f>
        <v>0</v>
      </c>
      <c r="H273" s="5">
        <f>ROUND(SUMIF([1]开票!$A$2:$A$1750,[1]申请!AQ273,[1]开票!$E$2:$E$1750),2)</f>
        <v>5.09</v>
      </c>
      <c r="I273" s="5">
        <f t="shared" si="64"/>
        <v>90</v>
      </c>
      <c r="J273" s="15"/>
      <c r="K273" s="32"/>
      <c r="L273" s="15"/>
      <c r="M273" s="12"/>
      <c r="N273" s="12"/>
      <c r="O273" s="12"/>
      <c r="P273" s="12"/>
      <c r="Q273" s="12"/>
      <c r="R273" s="12"/>
      <c r="S273" s="15"/>
      <c r="T273" s="32"/>
      <c r="U273" s="12"/>
      <c r="V273" s="12"/>
      <c r="W273" s="12">
        <v>90</v>
      </c>
      <c r="X273" s="42"/>
      <c r="Y273" s="12"/>
      <c r="Z273" s="12"/>
      <c r="AA273" s="12"/>
      <c r="AB273" s="12"/>
      <c r="AC273" s="12"/>
      <c r="AD273" s="12">
        <f t="shared" si="65"/>
        <v>90</v>
      </c>
      <c r="AE273" s="13">
        <f t="shared" si="66"/>
        <v>0</v>
      </c>
      <c r="AF273" s="14">
        <f t="shared" si="67"/>
        <v>0</v>
      </c>
      <c r="AG273" s="13">
        <f t="shared" si="68"/>
        <v>5.09</v>
      </c>
      <c r="AH273" s="13">
        <f t="shared" si="69"/>
        <v>0.36</v>
      </c>
      <c r="AI273" s="13">
        <f t="shared" si="70"/>
        <v>0.15</v>
      </c>
      <c r="AJ273" s="13">
        <f t="shared" si="71"/>
        <v>0.1</v>
      </c>
      <c r="AK273" s="13">
        <f t="shared" si="72"/>
        <v>0</v>
      </c>
      <c r="AL273" s="13">
        <f t="shared" si="73"/>
        <v>0</v>
      </c>
      <c r="AM273" s="13">
        <f t="shared" si="74"/>
        <v>5.09</v>
      </c>
      <c r="AN273" s="13">
        <f t="shared" si="75"/>
        <v>0.36</v>
      </c>
      <c r="AO273" s="13">
        <f t="shared" si="76"/>
        <v>0.15</v>
      </c>
      <c r="AP273" s="13">
        <f t="shared" si="77"/>
        <v>0.1</v>
      </c>
      <c r="AQ273" s="13" t="str">
        <f t="shared" si="78"/>
        <v>TJ202512221415000451905</v>
      </c>
      <c r="AR273" s="13">
        <f t="shared" si="79"/>
        <v>0.06</v>
      </c>
    </row>
    <row r="274" ht="15" spans="1:44">
      <c r="A274" s="31" t="s">
        <v>481</v>
      </c>
      <c r="B274" s="12" t="s">
        <v>480</v>
      </c>
      <c r="C274" s="12" t="s">
        <v>46</v>
      </c>
      <c r="D274" s="12" t="s">
        <v>47</v>
      </c>
      <c r="E274" s="12" t="s">
        <v>184</v>
      </c>
      <c r="F274" s="5">
        <f>ROUND(SUMIF([1]开票!$A$2:$A$1750,[1]申请!AQ274,[1]开票!$C$2:$C$1750),2)</f>
        <v>685.71</v>
      </c>
      <c r="G274" s="5">
        <f>ROUND(SUMIF([1]开票!$A$2:$A$1750,[1]申请!AQ274,[1]开票!$D$2:$D$1750),2)</f>
        <v>42616.7</v>
      </c>
      <c r="H274" s="5">
        <f>ROUND(SUMIF([1]开票!$A$2:$A$1750,[1]申请!AQ274,[1]开票!$E$2:$E$1750),2)</f>
        <v>34.29</v>
      </c>
      <c r="I274" s="5">
        <f t="shared" si="64"/>
        <v>43336.7</v>
      </c>
      <c r="J274" s="12">
        <v>720</v>
      </c>
      <c r="K274" s="32"/>
      <c r="L274" s="12"/>
      <c r="M274" s="12"/>
      <c r="N274" s="12"/>
      <c r="O274" s="12"/>
      <c r="P274" s="12"/>
      <c r="Q274" s="12"/>
      <c r="R274" s="12"/>
      <c r="S274" s="15">
        <v>34096.02</v>
      </c>
      <c r="T274" s="15">
        <v>46.04</v>
      </c>
      <c r="U274" s="20">
        <v>8224.92</v>
      </c>
      <c r="V274" s="12"/>
      <c r="W274" s="12"/>
      <c r="X274" s="12">
        <v>249.72</v>
      </c>
      <c r="Y274" s="15"/>
      <c r="Z274" s="12"/>
      <c r="AA274" s="12"/>
      <c r="AB274" s="12"/>
      <c r="AC274" s="12"/>
      <c r="AD274" s="12">
        <f t="shared" si="65"/>
        <v>43336.7</v>
      </c>
      <c r="AE274" s="13">
        <f t="shared" si="66"/>
        <v>0</v>
      </c>
      <c r="AF274" s="14">
        <f t="shared" si="67"/>
        <v>0</v>
      </c>
      <c r="AG274" s="13">
        <f t="shared" si="68"/>
        <v>34.29</v>
      </c>
      <c r="AH274" s="13">
        <f t="shared" si="69"/>
        <v>2.4</v>
      </c>
      <c r="AI274" s="13">
        <f t="shared" si="70"/>
        <v>1.03</v>
      </c>
      <c r="AJ274" s="13">
        <f t="shared" si="71"/>
        <v>0.69</v>
      </c>
      <c r="AK274" s="13">
        <f t="shared" si="72"/>
        <v>0</v>
      </c>
      <c r="AL274" s="13">
        <f t="shared" si="73"/>
        <v>0</v>
      </c>
      <c r="AM274" s="13">
        <f t="shared" si="74"/>
        <v>34.29</v>
      </c>
      <c r="AN274" s="13">
        <f t="shared" si="75"/>
        <v>2.4</v>
      </c>
      <c r="AO274" s="13">
        <f t="shared" si="76"/>
        <v>1.03</v>
      </c>
      <c r="AP274" s="13">
        <f t="shared" si="77"/>
        <v>0.69</v>
      </c>
      <c r="AQ274" s="13" t="str">
        <f t="shared" si="78"/>
        <v>TJ202512221419000189484</v>
      </c>
      <c r="AR274" s="13">
        <f t="shared" si="79"/>
        <v>0.05</v>
      </c>
    </row>
    <row r="275" ht="15" spans="1:44">
      <c r="A275" s="43" t="s">
        <v>482</v>
      </c>
      <c r="B275" s="12" t="s">
        <v>259</v>
      </c>
      <c r="C275" s="12" t="s">
        <v>260</v>
      </c>
      <c r="D275" s="12" t="s">
        <v>47</v>
      </c>
      <c r="E275" s="12" t="s">
        <v>51</v>
      </c>
      <c r="F275" s="5">
        <f>ROUND(SUMIF([1]开票!$A$2:$A$1750,[1]申请!AQ275,[1]开票!$C$2:$C$1750),2)</f>
        <v>32543.94</v>
      </c>
      <c r="G275" s="5">
        <f>ROUND(SUMIF([1]开票!$A$2:$A$1750,[1]申请!AQ275,[1]开票!$D$2:$D$1750),2)</f>
        <v>0</v>
      </c>
      <c r="H275" s="5">
        <f>ROUND(SUMIF([1]开票!$A$2:$A$1750,[1]申请!AQ275,[1]开票!$E$2:$E$1750),2)</f>
        <v>1952.64</v>
      </c>
      <c r="I275" s="5">
        <f t="shared" si="64"/>
        <v>34496.58</v>
      </c>
      <c r="J275" s="28">
        <v>96.88</v>
      </c>
      <c r="K275" s="12"/>
      <c r="L275" s="12"/>
      <c r="M275" s="12"/>
      <c r="N275" s="12"/>
      <c r="O275" s="12"/>
      <c r="P275" s="12"/>
      <c r="Q275" s="12"/>
      <c r="R275" s="12"/>
      <c r="S275" s="32">
        <v>31222.5</v>
      </c>
      <c r="T275" s="28">
        <v>655</v>
      </c>
      <c r="U275" s="20"/>
      <c r="V275" s="28">
        <v>350</v>
      </c>
      <c r="W275" s="12"/>
      <c r="X275" s="28"/>
      <c r="Y275" s="32">
        <v>2172.2</v>
      </c>
      <c r="Z275" s="12"/>
      <c r="AA275" s="12"/>
      <c r="AB275" s="12"/>
      <c r="AC275" s="12"/>
      <c r="AD275" s="12">
        <f t="shared" si="65"/>
        <v>34496.58</v>
      </c>
      <c r="AE275" s="13">
        <f t="shared" si="66"/>
        <v>0</v>
      </c>
      <c r="AF275" s="14">
        <f t="shared" si="67"/>
        <v>0</v>
      </c>
      <c r="AG275" s="13">
        <f t="shared" si="68"/>
        <v>1952.64</v>
      </c>
      <c r="AH275" s="13">
        <f t="shared" si="69"/>
        <v>136.68</v>
      </c>
      <c r="AI275" s="13">
        <f t="shared" si="70"/>
        <v>58.58</v>
      </c>
      <c r="AJ275" s="13">
        <f t="shared" si="71"/>
        <v>39.05</v>
      </c>
      <c r="AK275" s="13">
        <f t="shared" si="72"/>
        <v>1939.46428571429</v>
      </c>
      <c r="AL275" s="13">
        <f t="shared" si="73"/>
        <v>232.74</v>
      </c>
      <c r="AM275" s="13">
        <f t="shared" si="74"/>
        <v>13.18</v>
      </c>
      <c r="AN275" s="13">
        <f t="shared" si="75"/>
        <v>0.92</v>
      </c>
      <c r="AO275" s="13">
        <f t="shared" si="76"/>
        <v>0.4</v>
      </c>
      <c r="AP275" s="13">
        <f t="shared" si="77"/>
        <v>0.25</v>
      </c>
      <c r="AQ275" s="13" t="str">
        <f t="shared" si="78"/>
        <v>TJ202512221448000055516</v>
      </c>
      <c r="AR275" s="13">
        <f t="shared" si="79"/>
        <v>0.06</v>
      </c>
    </row>
    <row r="276" ht="15" spans="1:44">
      <c r="A276" s="43" t="s">
        <v>483</v>
      </c>
      <c r="B276" s="12" t="s">
        <v>452</v>
      </c>
      <c r="C276" s="12" t="s">
        <v>54</v>
      </c>
      <c r="D276" s="12" t="s">
        <v>55</v>
      </c>
      <c r="E276" s="12" t="s">
        <v>51</v>
      </c>
      <c r="F276" s="5">
        <f>ROUND(SUMIF([1]开票!$A$2:$A$1750,[1]申请!AQ276,[1]开票!$C$2:$C$1750),2)</f>
        <v>29720.41</v>
      </c>
      <c r="G276" s="5">
        <f>ROUND(SUMIF([1]开票!$A$2:$A$1750,[1]申请!AQ276,[1]开票!$D$2:$D$1750),2)</f>
        <v>0</v>
      </c>
      <c r="H276" s="5">
        <f>ROUND(SUMIF([1]开票!$A$2:$A$1750,[1]申请!AQ276,[1]开票!$E$2:$E$1750),2)</f>
        <v>1783.22</v>
      </c>
      <c r="I276" s="5">
        <f t="shared" si="64"/>
        <v>31503.63</v>
      </c>
      <c r="J276" s="44"/>
      <c r="K276" s="12"/>
      <c r="L276" s="12">
        <v>31503.63</v>
      </c>
      <c r="M276" s="12"/>
      <c r="N276" s="12"/>
      <c r="O276" s="12"/>
      <c r="P276" s="12"/>
      <c r="Q276" s="12"/>
      <c r="R276" s="12"/>
      <c r="S276" s="15"/>
      <c r="T276" s="44"/>
      <c r="U276" s="44"/>
      <c r="V276" s="44"/>
      <c r="W276" s="12"/>
      <c r="X276" s="44"/>
      <c r="Y276" s="32"/>
      <c r="Z276" s="12"/>
      <c r="AA276" s="12"/>
      <c r="AB276" s="12"/>
      <c r="AC276" s="12"/>
      <c r="AD276" s="12">
        <f t="shared" si="65"/>
        <v>31503.63</v>
      </c>
      <c r="AE276" s="13">
        <f t="shared" si="66"/>
        <v>0</v>
      </c>
      <c r="AF276" s="14">
        <f t="shared" si="67"/>
        <v>0</v>
      </c>
      <c r="AG276" s="13">
        <f t="shared" si="68"/>
        <v>1783.22</v>
      </c>
      <c r="AH276" s="13">
        <f t="shared" si="69"/>
        <v>124.83</v>
      </c>
      <c r="AI276" s="13">
        <f t="shared" si="70"/>
        <v>53.5</v>
      </c>
      <c r="AJ276" s="13">
        <f t="shared" si="71"/>
        <v>35.66</v>
      </c>
      <c r="AK276" s="13">
        <f t="shared" si="72"/>
        <v>0</v>
      </c>
      <c r="AL276" s="13">
        <f t="shared" si="73"/>
        <v>0</v>
      </c>
      <c r="AM276" s="13">
        <f t="shared" si="74"/>
        <v>1783.22</v>
      </c>
      <c r="AN276" s="13">
        <f t="shared" si="75"/>
        <v>124.83</v>
      </c>
      <c r="AO276" s="13">
        <f t="shared" si="76"/>
        <v>53.5</v>
      </c>
      <c r="AP276" s="13">
        <f t="shared" si="77"/>
        <v>35.66</v>
      </c>
      <c r="AQ276" s="13" t="str">
        <f t="shared" si="78"/>
        <v>TJ202512221524000022351</v>
      </c>
      <c r="AR276" s="13">
        <f t="shared" si="79"/>
        <v>0.06</v>
      </c>
    </row>
    <row r="277" spans="1:44">
      <c r="A277" s="43" t="s">
        <v>484</v>
      </c>
      <c r="B277" s="12" t="s">
        <v>189</v>
      </c>
      <c r="C277" s="12" t="s">
        <v>54</v>
      </c>
      <c r="D277" s="12" t="s">
        <v>55</v>
      </c>
      <c r="E277" s="12" t="s">
        <v>51</v>
      </c>
      <c r="F277" s="5">
        <f>ROUND(SUMIF([1]开票!$A$2:$A$1750,[1]申请!AQ277,[1]开票!$C$2:$C$1750),2)</f>
        <v>81136.74</v>
      </c>
      <c r="G277" s="5">
        <f>ROUND(SUMIF([1]开票!$A$2:$A$1750,[1]申请!AQ277,[1]开票!$D$2:$D$1750),2)</f>
        <v>0</v>
      </c>
      <c r="H277" s="5">
        <f>ROUND(SUMIF([1]开票!$A$2:$A$1750,[1]申请!AQ277,[1]开票!$E$2:$E$1750),2)</f>
        <v>4868.2</v>
      </c>
      <c r="I277" s="5">
        <f t="shared" si="64"/>
        <v>86004.94</v>
      </c>
      <c r="J277" s="12"/>
      <c r="K277" s="16"/>
      <c r="L277" s="12">
        <v>86004.94</v>
      </c>
      <c r="M277" s="12"/>
      <c r="N277" s="12"/>
      <c r="O277" s="12"/>
      <c r="P277" s="12"/>
      <c r="Q277" s="12"/>
      <c r="R277" s="12"/>
      <c r="S277" s="15"/>
      <c r="T277" s="12"/>
      <c r="U277" s="12"/>
      <c r="V277" s="12"/>
      <c r="W277" s="12"/>
      <c r="X277" s="12"/>
      <c r="Y277" s="15"/>
      <c r="Z277" s="23"/>
      <c r="AA277" s="34"/>
      <c r="AB277" s="34"/>
      <c r="AC277" s="12"/>
      <c r="AD277" s="12">
        <f t="shared" si="65"/>
        <v>86004.94</v>
      </c>
      <c r="AE277" s="13">
        <f t="shared" si="66"/>
        <v>0</v>
      </c>
      <c r="AF277" s="14">
        <f t="shared" si="67"/>
        <v>0</v>
      </c>
      <c r="AG277" s="13">
        <f t="shared" si="68"/>
        <v>4868.2</v>
      </c>
      <c r="AH277" s="13">
        <f t="shared" si="69"/>
        <v>340.77</v>
      </c>
      <c r="AI277" s="13">
        <f t="shared" si="70"/>
        <v>146.05</v>
      </c>
      <c r="AJ277" s="13">
        <f t="shared" si="71"/>
        <v>97.36</v>
      </c>
      <c r="AK277" s="13">
        <f t="shared" si="72"/>
        <v>0</v>
      </c>
      <c r="AL277" s="13">
        <f t="shared" si="73"/>
        <v>0</v>
      </c>
      <c r="AM277" s="13">
        <f t="shared" si="74"/>
        <v>4868.2</v>
      </c>
      <c r="AN277" s="13">
        <f t="shared" si="75"/>
        <v>340.77</v>
      </c>
      <c r="AO277" s="13">
        <f t="shared" si="76"/>
        <v>146.05</v>
      </c>
      <c r="AP277" s="13">
        <f t="shared" si="77"/>
        <v>97.36</v>
      </c>
      <c r="AQ277" s="13" t="str">
        <f t="shared" si="78"/>
        <v>TJ202512221529000015937</v>
      </c>
      <c r="AR277" s="13">
        <f t="shared" si="79"/>
        <v>0.06</v>
      </c>
    </row>
    <row r="278" spans="1:44">
      <c r="A278" s="31" t="s">
        <v>485</v>
      </c>
      <c r="B278" s="12" t="s">
        <v>486</v>
      </c>
      <c r="C278" s="12" t="s">
        <v>46</v>
      </c>
      <c r="D278" s="12" t="s">
        <v>47</v>
      </c>
      <c r="E278" s="12" t="s">
        <v>48</v>
      </c>
      <c r="F278" s="5">
        <f>ROUND(SUMIF([1]开票!$A$2:$A$1750,[1]申请!AQ278,[1]开票!$C$2:$C$1750),2)</f>
        <v>1071.21</v>
      </c>
      <c r="G278" s="5">
        <f>ROUND(SUMIF([1]开票!$A$2:$A$1750,[1]申请!AQ278,[1]开票!$D$2:$D$1750),2)</f>
        <v>129561.5</v>
      </c>
      <c r="H278" s="5">
        <f>ROUND(SUMIF([1]开票!$A$2:$A$1750,[1]申请!AQ278,[1]开票!$E$2:$E$1750),2)</f>
        <v>53.56</v>
      </c>
      <c r="I278" s="5">
        <f t="shared" si="64"/>
        <v>130686.27</v>
      </c>
      <c r="J278" s="12">
        <v>640</v>
      </c>
      <c r="K278" s="12"/>
      <c r="L278" s="16"/>
      <c r="M278" s="16"/>
      <c r="N278" s="12"/>
      <c r="O278" s="12"/>
      <c r="P278" s="12"/>
      <c r="Q278" s="12"/>
      <c r="R278" s="12"/>
      <c r="S278" s="15">
        <v>106339.93</v>
      </c>
      <c r="T278" s="15">
        <v>443.29</v>
      </c>
      <c r="U278" s="12">
        <v>22742.28</v>
      </c>
      <c r="V278" s="12">
        <v>0</v>
      </c>
      <c r="W278" s="12">
        <v>36</v>
      </c>
      <c r="X278" s="12">
        <v>459.06</v>
      </c>
      <c r="Y278" s="15">
        <v>25.71</v>
      </c>
      <c r="Z278" s="23"/>
      <c r="AA278" s="34"/>
      <c r="AB278" s="34"/>
      <c r="AC278" s="12"/>
      <c r="AD278" s="12">
        <f t="shared" si="65"/>
        <v>130686.27</v>
      </c>
      <c r="AE278" s="13">
        <f t="shared" si="66"/>
        <v>0</v>
      </c>
      <c r="AF278" s="14">
        <f t="shared" si="67"/>
        <v>0</v>
      </c>
      <c r="AG278" s="13">
        <f t="shared" si="68"/>
        <v>53.56</v>
      </c>
      <c r="AH278" s="13">
        <f t="shared" si="69"/>
        <v>3.75</v>
      </c>
      <c r="AI278" s="13">
        <f t="shared" si="70"/>
        <v>1.61</v>
      </c>
      <c r="AJ278" s="13">
        <f t="shared" si="71"/>
        <v>1.07</v>
      </c>
      <c r="AK278" s="13">
        <f t="shared" si="72"/>
        <v>22.9553571428571</v>
      </c>
      <c r="AL278" s="13">
        <f t="shared" si="73"/>
        <v>2.75</v>
      </c>
      <c r="AM278" s="13">
        <f t="shared" si="74"/>
        <v>30.6</v>
      </c>
      <c r="AN278" s="13">
        <f t="shared" si="75"/>
        <v>2.14</v>
      </c>
      <c r="AO278" s="13">
        <f t="shared" si="76"/>
        <v>0.92</v>
      </c>
      <c r="AP278" s="13">
        <f t="shared" si="77"/>
        <v>0.62</v>
      </c>
      <c r="AQ278" s="13" t="str">
        <f t="shared" si="78"/>
        <v>TJ202512221609000358247</v>
      </c>
      <c r="AR278" s="13">
        <f t="shared" si="79"/>
        <v>0.05</v>
      </c>
    </row>
    <row r="279" ht="15" spans="1:44">
      <c r="A279" s="31" t="s">
        <v>487</v>
      </c>
      <c r="B279" s="12" t="s">
        <v>488</v>
      </c>
      <c r="C279" s="12" t="s">
        <v>46</v>
      </c>
      <c r="D279" s="12" t="s">
        <v>47</v>
      </c>
      <c r="E279" s="12" t="s">
        <v>48</v>
      </c>
      <c r="F279" s="5">
        <f>ROUND(SUMIF([1]开票!$A$2:$A$1750,[1]申请!AQ279,[1]开票!$C$2:$C$1750),2)</f>
        <v>5761.06</v>
      </c>
      <c r="G279" s="5">
        <f>ROUND(SUMIF([1]开票!$A$2:$A$1750,[1]申请!AQ279,[1]开票!$D$2:$D$1750),2)</f>
        <v>961902.72</v>
      </c>
      <c r="H279" s="5">
        <f>ROUND(SUMIF([1]开票!$A$2:$A$1750,[1]申请!AQ279,[1]开票!$E$2:$E$1750),2)</f>
        <v>288.05</v>
      </c>
      <c r="I279" s="5">
        <f t="shared" si="64"/>
        <v>967951.83</v>
      </c>
      <c r="J279" s="20">
        <v>3200</v>
      </c>
      <c r="K279" s="15"/>
      <c r="L279" s="12"/>
      <c r="M279" s="12"/>
      <c r="N279" s="12"/>
      <c r="O279" s="12"/>
      <c r="P279" s="12"/>
      <c r="Q279" s="12"/>
      <c r="R279" s="12"/>
      <c r="S279" s="20">
        <v>786731.19</v>
      </c>
      <c r="T279" s="20">
        <v>36481.26</v>
      </c>
      <c r="U279" s="15">
        <v>128923.27</v>
      </c>
      <c r="V279" s="15">
        <v>9623</v>
      </c>
      <c r="W279" s="32">
        <v>144</v>
      </c>
      <c r="X279" s="12">
        <v>2698.02</v>
      </c>
      <c r="Y279" s="15">
        <v>151.09</v>
      </c>
      <c r="Z279" s="12"/>
      <c r="AA279" s="15"/>
      <c r="AB279" s="12"/>
      <c r="AC279" s="12"/>
      <c r="AD279" s="12">
        <f t="shared" si="65"/>
        <v>967951.83</v>
      </c>
      <c r="AE279" s="13">
        <f t="shared" si="66"/>
        <v>0</v>
      </c>
      <c r="AF279" s="14">
        <f t="shared" si="67"/>
        <v>0</v>
      </c>
      <c r="AG279" s="13">
        <f t="shared" si="68"/>
        <v>288.05</v>
      </c>
      <c r="AH279" s="13">
        <f t="shared" si="69"/>
        <v>20.16</v>
      </c>
      <c r="AI279" s="13">
        <f t="shared" si="70"/>
        <v>8.64</v>
      </c>
      <c r="AJ279" s="13">
        <f t="shared" si="71"/>
        <v>5.76</v>
      </c>
      <c r="AK279" s="13">
        <f t="shared" si="72"/>
        <v>134.901785714286</v>
      </c>
      <c r="AL279" s="13">
        <f t="shared" si="73"/>
        <v>16.19</v>
      </c>
      <c r="AM279" s="13">
        <f t="shared" si="74"/>
        <v>153.15</v>
      </c>
      <c r="AN279" s="13">
        <f t="shared" si="75"/>
        <v>10.72</v>
      </c>
      <c r="AO279" s="13">
        <f t="shared" si="76"/>
        <v>4.59</v>
      </c>
      <c r="AP279" s="13">
        <f t="shared" si="77"/>
        <v>3.06</v>
      </c>
      <c r="AQ279" s="13" t="str">
        <f t="shared" si="78"/>
        <v>TJ202512221613000071792</v>
      </c>
      <c r="AR279" s="13">
        <f t="shared" si="79"/>
        <v>0.05</v>
      </c>
    </row>
    <row r="280" ht="15" spans="1:44">
      <c r="A280" s="31" t="s">
        <v>489</v>
      </c>
      <c r="B280" s="12" t="s">
        <v>490</v>
      </c>
      <c r="C280" s="12" t="s">
        <v>46</v>
      </c>
      <c r="D280" s="12" t="s">
        <v>47</v>
      </c>
      <c r="E280" s="12" t="s">
        <v>48</v>
      </c>
      <c r="F280" s="5">
        <f>ROUND(SUMIF([1]开票!$A$2:$A$1750,[1]申请!AQ280,[1]开票!$C$2:$C$1750),2)</f>
        <v>198.55</v>
      </c>
      <c r="G280" s="5">
        <f>ROUND(SUMIF([1]开票!$A$2:$A$1750,[1]申请!AQ280,[1]开票!$D$2:$D$1750),2)</f>
        <v>35128.87</v>
      </c>
      <c r="H280" s="5">
        <f>ROUND(SUMIF([1]开票!$A$2:$A$1750,[1]申请!AQ280,[1]开票!$E$2:$E$1750),2)</f>
        <v>9.93</v>
      </c>
      <c r="I280" s="5">
        <f t="shared" si="64"/>
        <v>35337.35</v>
      </c>
      <c r="J280" s="32">
        <v>120</v>
      </c>
      <c r="K280" s="32"/>
      <c r="L280" s="15"/>
      <c r="M280" s="34"/>
      <c r="N280" s="12"/>
      <c r="O280" s="12"/>
      <c r="P280" s="12"/>
      <c r="Q280" s="23"/>
      <c r="R280" s="15"/>
      <c r="S280" s="20">
        <v>28453.28</v>
      </c>
      <c r="T280" s="20">
        <v>1020.27</v>
      </c>
      <c r="U280" s="20">
        <v>5655.32</v>
      </c>
      <c r="V280" s="20"/>
      <c r="W280" s="32"/>
      <c r="X280" s="12">
        <v>83.79</v>
      </c>
      <c r="Y280" s="20">
        <v>4.69</v>
      </c>
      <c r="Z280" s="12"/>
      <c r="AA280" s="12"/>
      <c r="AB280" s="12"/>
      <c r="AC280" s="12"/>
      <c r="AD280" s="12">
        <f t="shared" si="65"/>
        <v>35337.35</v>
      </c>
      <c r="AE280" s="13">
        <f t="shared" si="66"/>
        <v>0</v>
      </c>
      <c r="AF280" s="14">
        <f t="shared" si="67"/>
        <v>0</v>
      </c>
      <c r="AG280" s="13">
        <f t="shared" si="68"/>
        <v>9.93</v>
      </c>
      <c r="AH280" s="13">
        <f t="shared" si="69"/>
        <v>0.7</v>
      </c>
      <c r="AI280" s="13">
        <f t="shared" si="70"/>
        <v>0.3</v>
      </c>
      <c r="AJ280" s="13">
        <f t="shared" si="71"/>
        <v>0.2</v>
      </c>
      <c r="AK280" s="13">
        <f t="shared" si="72"/>
        <v>4.1875</v>
      </c>
      <c r="AL280" s="13">
        <f t="shared" si="73"/>
        <v>0.5</v>
      </c>
      <c r="AM280" s="13">
        <f t="shared" si="74"/>
        <v>5.74</v>
      </c>
      <c r="AN280" s="13">
        <f t="shared" si="75"/>
        <v>0.4</v>
      </c>
      <c r="AO280" s="13">
        <f t="shared" si="76"/>
        <v>0.17</v>
      </c>
      <c r="AP280" s="13">
        <f t="shared" si="77"/>
        <v>0.13</v>
      </c>
      <c r="AQ280" s="13" t="str">
        <f t="shared" si="78"/>
        <v>TJ202512221616000206331</v>
      </c>
      <c r="AR280" s="13">
        <f t="shared" si="79"/>
        <v>0.05</v>
      </c>
    </row>
    <row r="281" ht="15" spans="1:44">
      <c r="A281" s="31" t="s">
        <v>491</v>
      </c>
      <c r="B281" s="12" t="s">
        <v>492</v>
      </c>
      <c r="C281" s="12" t="s">
        <v>54</v>
      </c>
      <c r="D281" s="12" t="s">
        <v>47</v>
      </c>
      <c r="E281" s="12" t="s">
        <v>51</v>
      </c>
      <c r="F281" s="5">
        <f>ROUND(SUMIF([1]开票!$A$2:$A$1750,[1]申请!AQ281,[1]开票!$C$2:$C$1750),2)</f>
        <v>186337.8</v>
      </c>
      <c r="G281" s="5">
        <f>ROUND(SUMIF([1]开票!$A$2:$A$1750,[1]申请!AQ281,[1]开票!$D$2:$D$1750),2)</f>
        <v>0</v>
      </c>
      <c r="H281" s="5">
        <f>ROUND(SUMIF([1]开票!$A$2:$A$1750,[1]申请!AQ281,[1]开票!$E$2:$E$1750),2)</f>
        <v>11180.27</v>
      </c>
      <c r="I281" s="5">
        <f t="shared" si="64"/>
        <v>197518.07</v>
      </c>
      <c r="J281" s="32">
        <v>1040</v>
      </c>
      <c r="K281" s="32"/>
      <c r="L281" s="15"/>
      <c r="M281" s="12"/>
      <c r="N281" s="12"/>
      <c r="O281" s="12"/>
      <c r="P281" s="12"/>
      <c r="Q281" s="12"/>
      <c r="R281" s="12"/>
      <c r="S281" s="20">
        <v>146302.25</v>
      </c>
      <c r="T281" s="32">
        <v>1097</v>
      </c>
      <c r="U281" s="20">
        <v>27630.04</v>
      </c>
      <c r="V281" s="20">
        <v>0</v>
      </c>
      <c r="W281" s="32">
        <v>198</v>
      </c>
      <c r="X281" s="12">
        <v>8878.85</v>
      </c>
      <c r="Y281" s="20">
        <v>12371.93</v>
      </c>
      <c r="Z281" s="12"/>
      <c r="AA281" s="20"/>
      <c r="AB281" s="12"/>
      <c r="AC281" s="12"/>
      <c r="AD281" s="12">
        <f t="shared" si="65"/>
        <v>197518.07</v>
      </c>
      <c r="AE281" s="13">
        <f t="shared" si="66"/>
        <v>0</v>
      </c>
      <c r="AF281" s="14">
        <f t="shared" si="67"/>
        <v>0</v>
      </c>
      <c r="AG281" s="13">
        <f t="shared" si="68"/>
        <v>11180.27</v>
      </c>
      <c r="AH281" s="13">
        <f t="shared" si="69"/>
        <v>782.62</v>
      </c>
      <c r="AI281" s="13">
        <f t="shared" si="70"/>
        <v>335.41</v>
      </c>
      <c r="AJ281" s="13">
        <f t="shared" si="71"/>
        <v>223.61</v>
      </c>
      <c r="AK281" s="13">
        <f t="shared" si="72"/>
        <v>11046.3660714286</v>
      </c>
      <c r="AL281" s="13">
        <f t="shared" si="73"/>
        <v>1325.56</v>
      </c>
      <c r="AM281" s="13">
        <f t="shared" si="74"/>
        <v>133.9</v>
      </c>
      <c r="AN281" s="13">
        <f t="shared" si="75"/>
        <v>9.37</v>
      </c>
      <c r="AO281" s="13">
        <f t="shared" si="76"/>
        <v>4.02</v>
      </c>
      <c r="AP281" s="13">
        <f t="shared" si="77"/>
        <v>2.69</v>
      </c>
      <c r="AQ281" s="13" t="str">
        <f t="shared" si="78"/>
        <v>TJ202512221619000176262</v>
      </c>
      <c r="AR281" s="13">
        <f t="shared" si="79"/>
        <v>0.06</v>
      </c>
    </row>
    <row r="282" ht="15" spans="1:44">
      <c r="A282" s="31" t="s">
        <v>493</v>
      </c>
      <c r="B282" s="12" t="s">
        <v>293</v>
      </c>
      <c r="C282" s="12" t="s">
        <v>54</v>
      </c>
      <c r="D282" s="12" t="s">
        <v>55</v>
      </c>
      <c r="E282" s="12" t="s">
        <v>51</v>
      </c>
      <c r="F282" s="5">
        <f>ROUND(SUMIF([1]开票!$A$2:$A$1750,[1]申请!AQ282,[1]开票!$C$2:$C$1750),2)</f>
        <v>1133867.98</v>
      </c>
      <c r="G282" s="5">
        <f>ROUND(SUMIF([1]开票!$A$2:$A$1750,[1]申请!AQ282,[1]开票!$D$2:$D$1750),2)</f>
        <v>0</v>
      </c>
      <c r="H282" s="5">
        <f>ROUND(SUMIF([1]开票!$A$2:$A$1750,[1]申请!AQ282,[1]开票!$E$2:$E$1750),2)</f>
        <v>68032.08</v>
      </c>
      <c r="I282" s="5">
        <f t="shared" si="64"/>
        <v>1201900.06</v>
      </c>
      <c r="J282" s="20"/>
      <c r="K282" s="15"/>
      <c r="L282" s="12">
        <v>1201900.06</v>
      </c>
      <c r="M282" s="12"/>
      <c r="N282" s="12"/>
      <c r="O282" s="12"/>
      <c r="P282" s="12"/>
      <c r="Q282" s="12"/>
      <c r="R282" s="12"/>
      <c r="S282" s="15"/>
      <c r="T282" s="15"/>
      <c r="U282" s="15"/>
      <c r="V282" s="20"/>
      <c r="W282" s="32"/>
      <c r="X282" s="12"/>
      <c r="Y282" s="15"/>
      <c r="Z282" s="12"/>
      <c r="AA282" s="20"/>
      <c r="AB282" s="12"/>
      <c r="AC282" s="12"/>
      <c r="AD282" s="12">
        <f t="shared" si="65"/>
        <v>1201900.06</v>
      </c>
      <c r="AE282" s="13">
        <f t="shared" si="66"/>
        <v>0</v>
      </c>
      <c r="AF282" s="14">
        <f t="shared" si="67"/>
        <v>0</v>
      </c>
      <c r="AG282" s="13">
        <f t="shared" si="68"/>
        <v>68032.08</v>
      </c>
      <c r="AH282" s="13">
        <f t="shared" si="69"/>
        <v>4762.25</v>
      </c>
      <c r="AI282" s="13">
        <f t="shared" si="70"/>
        <v>2040.96</v>
      </c>
      <c r="AJ282" s="13">
        <f t="shared" si="71"/>
        <v>1360.64</v>
      </c>
      <c r="AK282" s="13">
        <f t="shared" si="72"/>
        <v>0</v>
      </c>
      <c r="AL282" s="13">
        <f t="shared" si="73"/>
        <v>0</v>
      </c>
      <c r="AM282" s="13">
        <f t="shared" si="74"/>
        <v>68032.08</v>
      </c>
      <c r="AN282" s="13">
        <f t="shared" si="75"/>
        <v>4762.25</v>
      </c>
      <c r="AO282" s="13">
        <f t="shared" si="76"/>
        <v>2040.96</v>
      </c>
      <c r="AP282" s="13">
        <f t="shared" si="77"/>
        <v>1360.64</v>
      </c>
      <c r="AQ282" s="13" t="str">
        <f t="shared" si="78"/>
        <v>TJ202512221627000464967</v>
      </c>
      <c r="AR282" s="13">
        <f t="shared" si="79"/>
        <v>0.06</v>
      </c>
    </row>
    <row r="283" ht="15" spans="1:44">
      <c r="A283" s="31" t="s">
        <v>494</v>
      </c>
      <c r="B283" s="12" t="s">
        <v>495</v>
      </c>
      <c r="C283" s="12" t="s">
        <v>54</v>
      </c>
      <c r="D283" s="12" t="s">
        <v>47</v>
      </c>
      <c r="E283" s="12" t="s">
        <v>51</v>
      </c>
      <c r="F283" s="5">
        <f>ROUND(SUMIF([1]开票!$A$2:$A$1750,[1]申请!AQ283,[1]开票!$C$2:$C$1750),2)</f>
        <v>226438.56</v>
      </c>
      <c r="G283" s="5">
        <f>ROUND(SUMIF([1]开票!$A$2:$A$1750,[1]申请!AQ283,[1]开票!$D$2:$D$1750),2)</f>
        <v>0</v>
      </c>
      <c r="H283" s="5">
        <f>ROUND(SUMIF([1]开票!$A$2:$A$1750,[1]申请!AQ283,[1]开票!$E$2:$E$1750),2)</f>
        <v>13586.31</v>
      </c>
      <c r="I283" s="5">
        <f t="shared" si="64"/>
        <v>240024.87</v>
      </c>
      <c r="J283" s="32">
        <v>600</v>
      </c>
      <c r="K283" s="15"/>
      <c r="L283" s="12"/>
      <c r="M283" s="12"/>
      <c r="N283" s="12"/>
      <c r="O283" s="12"/>
      <c r="P283" s="12"/>
      <c r="Q283" s="12"/>
      <c r="R283" s="12"/>
      <c r="S283" s="32">
        <v>181425.07</v>
      </c>
      <c r="T283" s="20">
        <v>16640.32</v>
      </c>
      <c r="U283" s="15">
        <v>24499.8</v>
      </c>
      <c r="V283" s="20">
        <v>1306</v>
      </c>
      <c r="W283" s="32"/>
      <c r="X283" s="12">
        <v>477.45</v>
      </c>
      <c r="Y283" s="20">
        <v>15076.23</v>
      </c>
      <c r="Z283" s="12"/>
      <c r="AA283" s="20"/>
      <c r="AB283" s="12"/>
      <c r="AC283" s="12"/>
      <c r="AD283" s="12">
        <f t="shared" si="65"/>
        <v>240024.87</v>
      </c>
      <c r="AE283" s="13">
        <f t="shared" si="66"/>
        <v>0</v>
      </c>
      <c r="AF283" s="14">
        <f t="shared" si="67"/>
        <v>0</v>
      </c>
      <c r="AG283" s="13">
        <f t="shared" si="68"/>
        <v>13586.31</v>
      </c>
      <c r="AH283" s="13">
        <f t="shared" si="69"/>
        <v>951.04</v>
      </c>
      <c r="AI283" s="13">
        <f t="shared" si="70"/>
        <v>407.59</v>
      </c>
      <c r="AJ283" s="13">
        <f t="shared" si="71"/>
        <v>271.73</v>
      </c>
      <c r="AK283" s="13">
        <f t="shared" si="72"/>
        <v>13460.9196428571</v>
      </c>
      <c r="AL283" s="13">
        <f t="shared" si="73"/>
        <v>1615.31</v>
      </c>
      <c r="AM283" s="13">
        <f t="shared" si="74"/>
        <v>125.39</v>
      </c>
      <c r="AN283" s="13">
        <f t="shared" si="75"/>
        <v>8.78</v>
      </c>
      <c r="AO283" s="13">
        <f t="shared" si="76"/>
        <v>3.76</v>
      </c>
      <c r="AP283" s="13">
        <f t="shared" si="77"/>
        <v>2.51</v>
      </c>
      <c r="AQ283" s="13" t="str">
        <f t="shared" si="78"/>
        <v>TJ202512221627000496215</v>
      </c>
      <c r="AR283" s="13">
        <f t="shared" si="79"/>
        <v>0.06</v>
      </c>
    </row>
    <row r="284" ht="15" spans="1:44">
      <c r="A284" s="31" t="s">
        <v>496</v>
      </c>
      <c r="B284" s="12" t="s">
        <v>497</v>
      </c>
      <c r="C284" s="12" t="s">
        <v>54</v>
      </c>
      <c r="D284" s="12" t="s">
        <v>47</v>
      </c>
      <c r="E284" s="12" t="s">
        <v>51</v>
      </c>
      <c r="F284" s="5">
        <f>ROUND(SUMIF([1]开票!$A$2:$A$1750,[1]申请!AQ284,[1]开票!$C$2:$C$1750),2)</f>
        <v>910306.48</v>
      </c>
      <c r="G284" s="5">
        <f>ROUND(SUMIF([1]开票!$A$2:$A$1750,[1]申请!AQ284,[1]开票!$D$2:$D$1750),2)</f>
        <v>0</v>
      </c>
      <c r="H284" s="5">
        <f>ROUND(SUMIF([1]开票!$A$2:$A$1750,[1]申请!AQ284,[1]开票!$E$2:$E$1750),2)</f>
        <v>54618.39</v>
      </c>
      <c r="I284" s="5">
        <f t="shared" si="64"/>
        <v>964924.87</v>
      </c>
      <c r="J284" s="12">
        <v>4600</v>
      </c>
      <c r="K284" s="32"/>
      <c r="L284" s="39"/>
      <c r="M284" s="12"/>
      <c r="N284" s="12"/>
      <c r="O284" s="12"/>
      <c r="P284" s="12"/>
      <c r="Q284" s="12"/>
      <c r="R284" s="12"/>
      <c r="S284" s="20">
        <v>734659.32</v>
      </c>
      <c r="T284" s="20">
        <v>8394.84</v>
      </c>
      <c r="U284" s="20">
        <v>148147.34</v>
      </c>
      <c r="V284" s="12">
        <v>4240</v>
      </c>
      <c r="W284" s="12">
        <v>522</v>
      </c>
      <c r="X284" s="12">
        <v>3891.14</v>
      </c>
      <c r="Y284" s="12">
        <v>60470.23</v>
      </c>
      <c r="Z284" s="12"/>
      <c r="AA284" s="15"/>
      <c r="AB284" s="12"/>
      <c r="AC284" s="12"/>
      <c r="AD284" s="12">
        <f t="shared" si="65"/>
        <v>964924.87</v>
      </c>
      <c r="AE284" s="21">
        <f t="shared" si="66"/>
        <v>0</v>
      </c>
      <c r="AF284" s="22">
        <f t="shared" si="67"/>
        <v>0</v>
      </c>
      <c r="AG284" s="21">
        <f t="shared" si="68"/>
        <v>54618.39</v>
      </c>
      <c r="AH284" s="21">
        <f t="shared" si="69"/>
        <v>3823.29</v>
      </c>
      <c r="AI284" s="21">
        <f t="shared" si="70"/>
        <v>1638.55</v>
      </c>
      <c r="AJ284" s="21">
        <f t="shared" si="71"/>
        <v>1092.37</v>
      </c>
      <c r="AK284" s="21">
        <f t="shared" si="72"/>
        <v>53991.2767857143</v>
      </c>
      <c r="AL284" s="21">
        <f t="shared" si="73"/>
        <v>6478.95</v>
      </c>
      <c r="AM284" s="21">
        <f t="shared" si="74"/>
        <v>627.11</v>
      </c>
      <c r="AN284" s="21">
        <f t="shared" si="75"/>
        <v>43.9</v>
      </c>
      <c r="AO284" s="21">
        <f t="shared" si="76"/>
        <v>18.81</v>
      </c>
      <c r="AP284" s="21">
        <f t="shared" si="77"/>
        <v>12.55</v>
      </c>
      <c r="AQ284" s="21" t="str">
        <f t="shared" si="78"/>
        <v>TJ202512221630000327860</v>
      </c>
      <c r="AR284" s="21">
        <f t="shared" si="79"/>
        <v>0.06</v>
      </c>
    </row>
    <row r="285" ht="15" spans="1:44">
      <c r="A285" s="31" t="s">
        <v>498</v>
      </c>
      <c r="B285" s="12" t="s">
        <v>499</v>
      </c>
      <c r="C285" s="12" t="s">
        <v>54</v>
      </c>
      <c r="D285" s="12" t="s">
        <v>47</v>
      </c>
      <c r="E285" s="12" t="s">
        <v>51</v>
      </c>
      <c r="F285" s="5">
        <f>ROUND(SUMIF([1]开票!$A$2:$A$1750,[1]申请!AQ285,[1]开票!$C$2:$C$1750),2)</f>
        <v>1929222.12</v>
      </c>
      <c r="G285" s="5">
        <f>ROUND(SUMIF([1]开票!$A$2:$A$1750,[1]申请!AQ285,[1]开票!$D$2:$D$1750),2)</f>
        <v>0</v>
      </c>
      <c r="H285" s="5">
        <f>ROUND(SUMIF([1]开票!$A$2:$A$1750,[1]申请!AQ285,[1]开票!$E$2:$E$1750),2)</f>
        <v>115753.33</v>
      </c>
      <c r="I285" s="5">
        <f t="shared" si="64"/>
        <v>2044975.45</v>
      </c>
      <c r="J285" s="15">
        <v>8520</v>
      </c>
      <c r="K285" s="20"/>
      <c r="L285" s="12"/>
      <c r="M285" s="12"/>
      <c r="N285" s="12"/>
      <c r="O285" s="12"/>
      <c r="P285" s="12"/>
      <c r="Q285" s="12"/>
      <c r="R285" s="12"/>
      <c r="S285" s="20">
        <v>1446779.78</v>
      </c>
      <c r="T285" s="15">
        <v>50806.17</v>
      </c>
      <c r="U285" s="15">
        <v>365133.53</v>
      </c>
      <c r="V285" s="15">
        <v>40170</v>
      </c>
      <c r="W285" s="12">
        <v>630</v>
      </c>
      <c r="X285" s="15">
        <v>4703.39</v>
      </c>
      <c r="Y285" s="20">
        <v>128232.58</v>
      </c>
      <c r="Z285" s="12"/>
      <c r="AA285" s="12"/>
      <c r="AB285" s="12"/>
      <c r="AC285" s="12"/>
      <c r="AD285" s="12">
        <f t="shared" si="65"/>
        <v>2044975.45</v>
      </c>
      <c r="AE285" s="13">
        <f t="shared" si="66"/>
        <v>0</v>
      </c>
      <c r="AF285" s="14">
        <f t="shared" si="67"/>
        <v>0</v>
      </c>
      <c r="AG285" s="13">
        <f t="shared" si="68"/>
        <v>115753.33</v>
      </c>
      <c r="AH285" s="13">
        <f t="shared" si="69"/>
        <v>8102.73</v>
      </c>
      <c r="AI285" s="13">
        <f t="shared" si="70"/>
        <v>3472.6</v>
      </c>
      <c r="AJ285" s="13">
        <f t="shared" si="71"/>
        <v>2315.07</v>
      </c>
      <c r="AK285" s="13">
        <f t="shared" si="72"/>
        <v>114493.375</v>
      </c>
      <c r="AL285" s="13">
        <f t="shared" si="73"/>
        <v>13739.21</v>
      </c>
      <c r="AM285" s="13">
        <f t="shared" si="74"/>
        <v>1259.96</v>
      </c>
      <c r="AN285" s="13">
        <f t="shared" si="75"/>
        <v>88.2</v>
      </c>
      <c r="AO285" s="13">
        <f t="shared" si="76"/>
        <v>37.8</v>
      </c>
      <c r="AP285" s="13">
        <f t="shared" si="77"/>
        <v>25.19</v>
      </c>
      <c r="AQ285" s="13" t="str">
        <f t="shared" si="78"/>
        <v>TJ202512221632000519937</v>
      </c>
      <c r="AR285" s="13">
        <f t="shared" si="79"/>
        <v>0.06</v>
      </c>
    </row>
    <row r="286" ht="15" spans="1:44">
      <c r="A286" s="31" t="s">
        <v>500</v>
      </c>
      <c r="B286" s="12" t="s">
        <v>501</v>
      </c>
      <c r="C286" s="12" t="s">
        <v>54</v>
      </c>
      <c r="D286" s="12" t="s">
        <v>47</v>
      </c>
      <c r="E286" s="12" t="s">
        <v>51</v>
      </c>
      <c r="F286" s="5">
        <f>ROUND(SUMIF([1]开票!$A$2:$A$1750,[1]申请!AQ286,[1]开票!$C$2:$C$1750),2)</f>
        <v>11847.91</v>
      </c>
      <c r="G286" s="5">
        <f>ROUND(SUMIF([1]开票!$A$2:$A$1750,[1]申请!AQ286,[1]开票!$D$2:$D$1750),2)</f>
        <v>0</v>
      </c>
      <c r="H286" s="5">
        <f>ROUND(SUMIF([1]开票!$A$2:$A$1750,[1]申请!AQ286,[1]开票!$E$2:$E$1750),2)</f>
        <v>710.87</v>
      </c>
      <c r="I286" s="5">
        <f t="shared" si="64"/>
        <v>12558.78</v>
      </c>
      <c r="J286" s="12">
        <v>80</v>
      </c>
      <c r="K286" s="32"/>
      <c r="L286" s="12"/>
      <c r="M286" s="12"/>
      <c r="N286" s="12"/>
      <c r="O286" s="12"/>
      <c r="P286" s="12"/>
      <c r="Q286" s="12"/>
      <c r="R286" s="12"/>
      <c r="S286" s="15">
        <v>8018.46</v>
      </c>
      <c r="T286" s="15">
        <v>94.29</v>
      </c>
      <c r="U286" s="20">
        <v>3506.22</v>
      </c>
      <c r="V286" s="20">
        <v>0</v>
      </c>
      <c r="W286" s="12"/>
      <c r="X286" s="42">
        <v>74.04</v>
      </c>
      <c r="Y286" s="12">
        <v>785.77</v>
      </c>
      <c r="Z286" s="12"/>
      <c r="AA286" s="12"/>
      <c r="AB286" s="12"/>
      <c r="AC286" s="12"/>
      <c r="AD286" s="12">
        <f t="shared" si="65"/>
        <v>12558.78</v>
      </c>
      <c r="AE286" s="13">
        <f t="shared" si="66"/>
        <v>0</v>
      </c>
      <c r="AF286" s="14">
        <f t="shared" si="67"/>
        <v>0</v>
      </c>
      <c r="AG286" s="13">
        <f t="shared" si="68"/>
        <v>710.87</v>
      </c>
      <c r="AH286" s="13">
        <f t="shared" si="69"/>
        <v>49.76</v>
      </c>
      <c r="AI286" s="13">
        <f t="shared" si="70"/>
        <v>21.33</v>
      </c>
      <c r="AJ286" s="13">
        <f t="shared" si="71"/>
        <v>14.22</v>
      </c>
      <c r="AK286" s="13">
        <f t="shared" si="72"/>
        <v>701.580357142857</v>
      </c>
      <c r="AL286" s="13">
        <f t="shared" si="73"/>
        <v>84.19</v>
      </c>
      <c r="AM286" s="13">
        <f t="shared" si="74"/>
        <v>9.29</v>
      </c>
      <c r="AN286" s="13">
        <f t="shared" si="75"/>
        <v>0.65</v>
      </c>
      <c r="AO286" s="13">
        <f t="shared" si="76"/>
        <v>0.28</v>
      </c>
      <c r="AP286" s="13">
        <f t="shared" si="77"/>
        <v>0.19</v>
      </c>
      <c r="AQ286" s="13" t="str">
        <f t="shared" si="78"/>
        <v>TJ202512221635000214068</v>
      </c>
      <c r="AR286" s="13">
        <f t="shared" si="79"/>
        <v>0.06</v>
      </c>
    </row>
    <row r="287" ht="15" spans="1:44">
      <c r="A287" s="31" t="s">
        <v>502</v>
      </c>
      <c r="B287" s="12" t="s">
        <v>503</v>
      </c>
      <c r="C287" s="12" t="s">
        <v>54</v>
      </c>
      <c r="D287" s="12" t="s">
        <v>60</v>
      </c>
      <c r="E287" s="12" t="s">
        <v>109</v>
      </c>
      <c r="F287" s="5">
        <f>ROUND(SUMIF([1]开票!$A$2:$A$1750,[1]申请!AQ287,[1]开票!$C$2:$C$1750),2)</f>
        <v>215882.09</v>
      </c>
      <c r="G287" s="5">
        <f>ROUND(SUMIF([1]开票!$A$2:$A$1750,[1]申请!AQ287,[1]开票!$D$2:$D$1750),2)</f>
        <v>0</v>
      </c>
      <c r="H287" s="5">
        <f>ROUND(SUMIF([1]开票!$A$2:$A$1750,[1]申请!AQ287,[1]开票!$E$2:$E$1750),2)</f>
        <v>12952.93</v>
      </c>
      <c r="I287" s="5">
        <f t="shared" si="64"/>
        <v>228835.02</v>
      </c>
      <c r="J287" s="12"/>
      <c r="K287" s="32"/>
      <c r="L287" s="12">
        <v>228835.02</v>
      </c>
      <c r="M287" s="12"/>
      <c r="N287" s="12"/>
      <c r="O287" s="12"/>
      <c r="P287" s="12"/>
      <c r="Q287" s="12"/>
      <c r="R287" s="12"/>
      <c r="S287" s="20"/>
      <c r="T287" s="32"/>
      <c r="U287" s="20"/>
      <c r="V287" s="23"/>
      <c r="W287" s="12"/>
      <c r="X287" s="23"/>
      <c r="Y287" s="23"/>
      <c r="Z287" s="12"/>
      <c r="AA287" s="23"/>
      <c r="AB287" s="12"/>
      <c r="AC287" s="12"/>
      <c r="AD287" s="12">
        <f t="shared" si="65"/>
        <v>228835.02</v>
      </c>
      <c r="AE287" s="13">
        <f t="shared" si="66"/>
        <v>0</v>
      </c>
      <c r="AF287" s="14">
        <f t="shared" si="67"/>
        <v>0</v>
      </c>
      <c r="AG287" s="13">
        <f t="shared" si="68"/>
        <v>12952.93</v>
      </c>
      <c r="AH287" s="13">
        <f t="shared" si="69"/>
        <v>906.71</v>
      </c>
      <c r="AI287" s="13">
        <f t="shared" si="70"/>
        <v>388.59</v>
      </c>
      <c r="AJ287" s="13">
        <f t="shared" si="71"/>
        <v>259.06</v>
      </c>
      <c r="AK287" s="13">
        <f t="shared" si="72"/>
        <v>0</v>
      </c>
      <c r="AL287" s="13">
        <f t="shared" si="73"/>
        <v>0</v>
      </c>
      <c r="AM287" s="13">
        <f t="shared" si="74"/>
        <v>12952.93</v>
      </c>
      <c r="AN287" s="13">
        <f t="shared" si="75"/>
        <v>906.71</v>
      </c>
      <c r="AO287" s="13">
        <f t="shared" si="76"/>
        <v>388.59</v>
      </c>
      <c r="AP287" s="13">
        <f t="shared" si="77"/>
        <v>259.06</v>
      </c>
      <c r="AQ287" s="13" t="str">
        <f t="shared" si="78"/>
        <v>TJ202512221636000390559</v>
      </c>
      <c r="AR287" s="13">
        <f t="shared" si="79"/>
        <v>0.06</v>
      </c>
    </row>
    <row r="288" ht="15" spans="1:44">
      <c r="A288" s="31" t="s">
        <v>504</v>
      </c>
      <c r="B288" s="12" t="s">
        <v>503</v>
      </c>
      <c r="C288" s="12" t="s">
        <v>54</v>
      </c>
      <c r="D288" s="12" t="s">
        <v>60</v>
      </c>
      <c r="E288" s="12" t="s">
        <v>51</v>
      </c>
      <c r="F288" s="5">
        <f>ROUND(SUMIF([1]开票!$A$2:$A$1750,[1]申请!AQ288,[1]开票!$C$2:$C$1750),2)</f>
        <v>95899.04</v>
      </c>
      <c r="G288" s="5">
        <f>ROUND(SUMIF([1]开票!$A$2:$A$1750,[1]申请!AQ288,[1]开票!$D$2:$D$1750),2)</f>
        <v>0</v>
      </c>
      <c r="H288" s="5">
        <f>ROUND(SUMIF([1]开票!$A$2:$A$1750,[1]申请!AQ288,[1]开票!$E$2:$E$1750),2)</f>
        <v>5753.94</v>
      </c>
      <c r="I288" s="5">
        <f t="shared" si="64"/>
        <v>101652.98</v>
      </c>
      <c r="J288" s="12"/>
      <c r="K288" s="32"/>
      <c r="L288" s="12">
        <v>101652.98</v>
      </c>
      <c r="M288" s="12"/>
      <c r="N288" s="12"/>
      <c r="O288" s="12"/>
      <c r="P288" s="12"/>
      <c r="Q288" s="12"/>
      <c r="R288" s="12"/>
      <c r="S288" s="20"/>
      <c r="T288" s="32"/>
      <c r="U288" s="15"/>
      <c r="V288" s="15"/>
      <c r="W288" s="12"/>
      <c r="X288" s="15"/>
      <c r="Y288" s="15"/>
      <c r="Z288" s="12"/>
      <c r="AA288" s="15"/>
      <c r="AB288" s="12"/>
      <c r="AC288" s="12"/>
      <c r="AD288" s="12">
        <f t="shared" si="65"/>
        <v>101652.98</v>
      </c>
      <c r="AE288" s="13">
        <f t="shared" si="66"/>
        <v>0</v>
      </c>
      <c r="AF288" s="14">
        <f t="shared" si="67"/>
        <v>0</v>
      </c>
      <c r="AG288" s="13">
        <f t="shared" si="68"/>
        <v>5753.94</v>
      </c>
      <c r="AH288" s="13">
        <f t="shared" si="69"/>
        <v>402.78</v>
      </c>
      <c r="AI288" s="13">
        <f t="shared" si="70"/>
        <v>172.62</v>
      </c>
      <c r="AJ288" s="13">
        <f t="shared" si="71"/>
        <v>115.08</v>
      </c>
      <c r="AK288" s="13">
        <f t="shared" si="72"/>
        <v>0</v>
      </c>
      <c r="AL288" s="13">
        <f t="shared" si="73"/>
        <v>0</v>
      </c>
      <c r="AM288" s="13">
        <f t="shared" si="74"/>
        <v>5753.94</v>
      </c>
      <c r="AN288" s="13">
        <f t="shared" si="75"/>
        <v>402.78</v>
      </c>
      <c r="AO288" s="13">
        <f t="shared" si="76"/>
        <v>172.62</v>
      </c>
      <c r="AP288" s="13">
        <f t="shared" si="77"/>
        <v>115.08</v>
      </c>
      <c r="AQ288" s="13" t="str">
        <f t="shared" si="78"/>
        <v>TJ202512221637000113472</v>
      </c>
      <c r="AR288" s="13">
        <f t="shared" si="79"/>
        <v>0.06</v>
      </c>
    </row>
    <row r="289" ht="15" spans="1:44">
      <c r="A289" s="43" t="s">
        <v>505</v>
      </c>
      <c r="B289" s="12" t="s">
        <v>506</v>
      </c>
      <c r="C289" s="12" t="s">
        <v>54</v>
      </c>
      <c r="D289" s="12" t="s">
        <v>47</v>
      </c>
      <c r="E289" s="12" t="s">
        <v>51</v>
      </c>
      <c r="F289" s="5">
        <f>ROUND(SUMIF([1]开票!$A$2:$A$1750,[1]申请!AQ289,[1]开票!$C$2:$C$1750),2)</f>
        <v>2072412.69</v>
      </c>
      <c r="G289" s="5">
        <f>ROUND(SUMIF([1]开票!$A$2:$A$1750,[1]申请!AQ289,[1]开票!$D$2:$D$1750),2)</f>
        <v>0</v>
      </c>
      <c r="H289" s="5">
        <f>ROUND(SUMIF([1]开票!$A$2:$A$1750,[1]申请!AQ289,[1]开票!$E$2:$E$1750),2)</f>
        <v>124344.76</v>
      </c>
      <c r="I289" s="5">
        <f t="shared" si="64"/>
        <v>2196757.45</v>
      </c>
      <c r="J289" s="12">
        <v>8680</v>
      </c>
      <c r="K289" s="32"/>
      <c r="L289" s="12"/>
      <c r="M289" s="12"/>
      <c r="N289" s="12"/>
      <c r="O289" s="12"/>
      <c r="P289" s="12"/>
      <c r="Q289" s="12"/>
      <c r="R289" s="12"/>
      <c r="S289" s="15">
        <v>1654996.19</v>
      </c>
      <c r="T289" s="15">
        <v>55115.54</v>
      </c>
      <c r="U289" s="20">
        <v>331576.4</v>
      </c>
      <c r="V289" s="12">
        <v>6663</v>
      </c>
      <c r="W289" s="12">
        <v>288</v>
      </c>
      <c r="X289" s="12">
        <v>1658.33</v>
      </c>
      <c r="Y289" s="12">
        <v>137779.99</v>
      </c>
      <c r="Z289" s="12"/>
      <c r="AA289" s="12"/>
      <c r="AB289" s="12"/>
      <c r="AC289" s="12"/>
      <c r="AD289" s="12">
        <f t="shared" si="65"/>
        <v>2196757.45</v>
      </c>
      <c r="AE289" s="13">
        <f t="shared" si="66"/>
        <v>0</v>
      </c>
      <c r="AF289" s="14">
        <f t="shared" si="67"/>
        <v>0</v>
      </c>
      <c r="AG289" s="13">
        <f t="shared" si="68"/>
        <v>124344.76</v>
      </c>
      <c r="AH289" s="13">
        <f t="shared" si="69"/>
        <v>8704.13</v>
      </c>
      <c r="AI289" s="13">
        <f t="shared" si="70"/>
        <v>3730.34</v>
      </c>
      <c r="AJ289" s="13">
        <f t="shared" si="71"/>
        <v>2486.9</v>
      </c>
      <c r="AK289" s="13">
        <f t="shared" si="72"/>
        <v>123017.848214286</v>
      </c>
      <c r="AL289" s="13">
        <f t="shared" si="73"/>
        <v>14762.14</v>
      </c>
      <c r="AM289" s="13">
        <f t="shared" si="74"/>
        <v>1326.91</v>
      </c>
      <c r="AN289" s="13">
        <f t="shared" si="75"/>
        <v>92.88</v>
      </c>
      <c r="AO289" s="13">
        <f t="shared" si="76"/>
        <v>39.81</v>
      </c>
      <c r="AP289" s="13">
        <f t="shared" si="77"/>
        <v>26.54</v>
      </c>
      <c r="AQ289" s="13" t="str">
        <f t="shared" si="78"/>
        <v>TJ202512221637000406537</v>
      </c>
      <c r="AR289" s="13">
        <f t="shared" si="79"/>
        <v>0.06</v>
      </c>
    </row>
    <row r="290" ht="15" spans="1:44">
      <c r="A290" s="43" t="s">
        <v>507</v>
      </c>
      <c r="B290" s="12" t="s">
        <v>508</v>
      </c>
      <c r="C290" s="12" t="s">
        <v>54</v>
      </c>
      <c r="D290" s="12" t="s">
        <v>47</v>
      </c>
      <c r="E290" s="12" t="s">
        <v>51</v>
      </c>
      <c r="F290" s="5">
        <f>ROUND(SUMIF([1]开票!$A$2:$A$1750,[1]申请!AQ290,[1]开票!$C$2:$C$1750),2)</f>
        <v>103839.13</v>
      </c>
      <c r="G290" s="5">
        <f>ROUND(SUMIF([1]开票!$A$2:$A$1750,[1]申请!AQ290,[1]开票!$D$2:$D$1750),2)</f>
        <v>0</v>
      </c>
      <c r="H290" s="5">
        <f>ROUND(SUMIF([1]开票!$A$2:$A$1750,[1]申请!AQ290,[1]开票!$E$2:$E$1750),2)</f>
        <v>6230.35</v>
      </c>
      <c r="I290" s="5">
        <f t="shared" si="64"/>
        <v>110069.48</v>
      </c>
      <c r="J290" s="12">
        <v>480</v>
      </c>
      <c r="K290" s="32"/>
      <c r="L290" s="12"/>
      <c r="M290" s="12"/>
      <c r="N290" s="12"/>
      <c r="O290" s="12"/>
      <c r="P290" s="12"/>
      <c r="Q290" s="12"/>
      <c r="R290" s="12"/>
      <c r="S290" s="15">
        <v>83385.52</v>
      </c>
      <c r="T290" s="20">
        <v>1143.74</v>
      </c>
      <c r="U290" s="20">
        <v>17834.3</v>
      </c>
      <c r="V290" s="20"/>
      <c r="W290" s="12">
        <v>18</v>
      </c>
      <c r="X290" s="12">
        <v>307.23</v>
      </c>
      <c r="Y290" s="12">
        <v>6900.69</v>
      </c>
      <c r="Z290" s="12"/>
      <c r="AA290" s="12"/>
      <c r="AB290" s="12"/>
      <c r="AC290" s="12"/>
      <c r="AD290" s="12">
        <f t="shared" si="65"/>
        <v>110069.48</v>
      </c>
      <c r="AE290" s="13">
        <f t="shared" si="66"/>
        <v>0</v>
      </c>
      <c r="AF290" s="14">
        <f t="shared" si="67"/>
        <v>0</v>
      </c>
      <c r="AG290" s="13">
        <f t="shared" si="68"/>
        <v>6230.35</v>
      </c>
      <c r="AH290" s="13">
        <f t="shared" si="69"/>
        <v>436.12</v>
      </c>
      <c r="AI290" s="13">
        <f t="shared" si="70"/>
        <v>186.91</v>
      </c>
      <c r="AJ290" s="13">
        <f t="shared" si="71"/>
        <v>124.61</v>
      </c>
      <c r="AK290" s="13">
        <f t="shared" si="72"/>
        <v>6161.33035714286</v>
      </c>
      <c r="AL290" s="13">
        <f t="shared" si="73"/>
        <v>739.36</v>
      </c>
      <c r="AM290" s="13">
        <f t="shared" si="74"/>
        <v>69.02</v>
      </c>
      <c r="AN290" s="13">
        <f t="shared" si="75"/>
        <v>4.83</v>
      </c>
      <c r="AO290" s="13">
        <f t="shared" si="76"/>
        <v>2.07</v>
      </c>
      <c r="AP290" s="13">
        <f t="shared" si="77"/>
        <v>1.38</v>
      </c>
      <c r="AQ290" s="13" t="str">
        <f t="shared" si="78"/>
        <v>TJ202512221639000429433</v>
      </c>
      <c r="AR290" s="13">
        <f t="shared" si="79"/>
        <v>0.06</v>
      </c>
    </row>
    <row r="291" ht="15" spans="1:44">
      <c r="A291" s="18" t="s">
        <v>509</v>
      </c>
      <c r="B291" s="12" t="s">
        <v>200</v>
      </c>
      <c r="C291" s="12" t="s">
        <v>54</v>
      </c>
      <c r="D291" s="12" t="s">
        <v>55</v>
      </c>
      <c r="E291" s="12" t="s">
        <v>51</v>
      </c>
      <c r="F291" s="5">
        <f>ROUND(SUMIF([1]开票!$A$2:$A$1750,[1]申请!AQ291,[1]开票!$C$2:$C$1750),2)</f>
        <v>27943.75</v>
      </c>
      <c r="G291" s="5">
        <f>ROUND(SUMIF([1]开票!$A$2:$A$1750,[1]申请!AQ291,[1]开票!$D$2:$D$1750),2)</f>
        <v>0</v>
      </c>
      <c r="H291" s="5">
        <f>ROUND(SUMIF([1]开票!$A$2:$A$1750,[1]申请!AQ291,[1]开票!$E$2:$E$1750),2)</f>
        <v>1676.62</v>
      </c>
      <c r="I291" s="5">
        <f t="shared" si="64"/>
        <v>29620.37</v>
      </c>
      <c r="J291" s="12"/>
      <c r="K291" s="32"/>
      <c r="L291" s="39">
        <v>29620.37</v>
      </c>
      <c r="M291" s="12"/>
      <c r="N291" s="12"/>
      <c r="O291" s="12"/>
      <c r="P291" s="12"/>
      <c r="Q291" s="12"/>
      <c r="R291" s="12"/>
      <c r="S291" s="15"/>
      <c r="T291" s="32"/>
      <c r="U291" s="20"/>
      <c r="V291" s="20"/>
      <c r="W291" s="12"/>
      <c r="X291" s="12"/>
      <c r="Y291" s="12"/>
      <c r="Z291" s="12"/>
      <c r="AA291" s="12"/>
      <c r="AB291" s="12"/>
      <c r="AC291" s="12"/>
      <c r="AD291" s="12">
        <f t="shared" si="65"/>
        <v>29620.37</v>
      </c>
      <c r="AE291" s="13">
        <f t="shared" si="66"/>
        <v>0</v>
      </c>
      <c r="AF291" s="14">
        <f t="shared" si="67"/>
        <v>0</v>
      </c>
      <c r="AG291" s="13">
        <f t="shared" si="68"/>
        <v>1676.62</v>
      </c>
      <c r="AH291" s="13">
        <f t="shared" si="69"/>
        <v>117.36</v>
      </c>
      <c r="AI291" s="13">
        <f t="shared" si="70"/>
        <v>50.3</v>
      </c>
      <c r="AJ291" s="13">
        <f t="shared" si="71"/>
        <v>33.53</v>
      </c>
      <c r="AK291" s="13">
        <f t="shared" si="72"/>
        <v>0</v>
      </c>
      <c r="AL291" s="13">
        <f t="shared" si="73"/>
        <v>0</v>
      </c>
      <c r="AM291" s="13">
        <f t="shared" si="74"/>
        <v>1676.62</v>
      </c>
      <c r="AN291" s="13">
        <f t="shared" si="75"/>
        <v>117.36</v>
      </c>
      <c r="AO291" s="13">
        <f t="shared" si="76"/>
        <v>50.3</v>
      </c>
      <c r="AP291" s="13">
        <f t="shared" si="77"/>
        <v>33.53</v>
      </c>
      <c r="AQ291" s="13" t="str">
        <f t="shared" si="78"/>
        <v>TJ202512221639000447774</v>
      </c>
      <c r="AR291" s="13">
        <f t="shared" si="79"/>
        <v>0.06</v>
      </c>
    </row>
    <row r="292" ht="15" spans="1:44">
      <c r="A292" s="43" t="s">
        <v>510</v>
      </c>
      <c r="B292" s="12" t="s">
        <v>492</v>
      </c>
      <c r="C292" s="12" t="s">
        <v>54</v>
      </c>
      <c r="D292" s="12" t="s">
        <v>47</v>
      </c>
      <c r="E292" s="12" t="s">
        <v>51</v>
      </c>
      <c r="F292" s="5">
        <f>ROUND(SUMIF([1]开票!$A$2:$A$1750,[1]申请!AQ292,[1]开票!$C$2:$C$1750),2)</f>
        <v>58323.14</v>
      </c>
      <c r="G292" s="5">
        <f>ROUND(SUMIF([1]开票!$A$2:$A$1750,[1]申请!AQ292,[1]开票!$D$2:$D$1750),2)</f>
        <v>0</v>
      </c>
      <c r="H292" s="5">
        <f>ROUND(SUMIF([1]开票!$A$2:$A$1750,[1]申请!AQ292,[1]开票!$E$2:$E$1750),2)</f>
        <v>3499.39</v>
      </c>
      <c r="I292" s="5">
        <f t="shared" si="64"/>
        <v>61822.53</v>
      </c>
      <c r="J292" s="12"/>
      <c r="K292" s="32"/>
      <c r="L292" s="12"/>
      <c r="M292" s="12"/>
      <c r="N292" s="12"/>
      <c r="O292" s="12"/>
      <c r="P292" s="12"/>
      <c r="Q292" s="12"/>
      <c r="R292" s="12"/>
      <c r="S292" s="20">
        <v>57729.1</v>
      </c>
      <c r="T292" s="20">
        <v>200.55</v>
      </c>
      <c r="U292" s="12"/>
      <c r="V292" s="12"/>
      <c r="W292" s="12"/>
      <c r="X292" s="42"/>
      <c r="Y292" s="15">
        <v>3892.88</v>
      </c>
      <c r="Z292" s="12"/>
      <c r="AA292" s="12"/>
      <c r="AB292" s="12"/>
      <c r="AC292" s="12"/>
      <c r="AD292" s="12">
        <f t="shared" si="65"/>
        <v>61822.53</v>
      </c>
      <c r="AE292" s="13">
        <f t="shared" si="66"/>
        <v>0</v>
      </c>
      <c r="AF292" s="14">
        <f t="shared" si="67"/>
        <v>0</v>
      </c>
      <c r="AG292" s="13">
        <f t="shared" si="68"/>
        <v>3499.39</v>
      </c>
      <c r="AH292" s="13">
        <f t="shared" si="69"/>
        <v>244.96</v>
      </c>
      <c r="AI292" s="13">
        <f t="shared" si="70"/>
        <v>104.98</v>
      </c>
      <c r="AJ292" s="13">
        <f t="shared" si="71"/>
        <v>69.99</v>
      </c>
      <c r="AK292" s="13">
        <f t="shared" si="72"/>
        <v>3475.78571428571</v>
      </c>
      <c r="AL292" s="13">
        <f t="shared" si="73"/>
        <v>417.09</v>
      </c>
      <c r="AM292" s="13">
        <f t="shared" si="74"/>
        <v>23.6</v>
      </c>
      <c r="AN292" s="13">
        <f t="shared" si="75"/>
        <v>1.65</v>
      </c>
      <c r="AO292" s="13">
        <f t="shared" si="76"/>
        <v>0.71</v>
      </c>
      <c r="AP292" s="13">
        <f t="shared" si="77"/>
        <v>0.48</v>
      </c>
      <c r="AQ292" s="13" t="str">
        <f t="shared" si="78"/>
        <v>TJ202512221648000130370</v>
      </c>
      <c r="AR292" s="13">
        <f t="shared" si="79"/>
        <v>0.06</v>
      </c>
    </row>
    <row r="293" ht="15" spans="1:44">
      <c r="A293" s="43" t="s">
        <v>511</v>
      </c>
      <c r="B293" s="12" t="s">
        <v>492</v>
      </c>
      <c r="C293" s="12" t="s">
        <v>54</v>
      </c>
      <c r="D293" s="12" t="s">
        <v>47</v>
      </c>
      <c r="E293" s="12" t="s">
        <v>51</v>
      </c>
      <c r="F293" s="5">
        <f>ROUND(SUMIF([1]开票!$A$2:$A$1750,[1]申请!AQ293,[1]开票!$C$2:$C$1750),2)</f>
        <v>68431.68</v>
      </c>
      <c r="G293" s="5">
        <f>ROUND(SUMIF([1]开票!$A$2:$A$1750,[1]申请!AQ293,[1]开票!$D$2:$D$1750),2)</f>
        <v>0</v>
      </c>
      <c r="H293" s="5">
        <f>ROUND(SUMIF([1]开票!$A$2:$A$1750,[1]申请!AQ293,[1]开票!$E$2:$E$1750),2)</f>
        <v>4105.9</v>
      </c>
      <c r="I293" s="5">
        <f t="shared" si="64"/>
        <v>72537.58</v>
      </c>
      <c r="J293" s="12"/>
      <c r="K293" s="15"/>
      <c r="L293" s="12"/>
      <c r="M293" s="12"/>
      <c r="N293" s="12"/>
      <c r="O293" s="12"/>
      <c r="P293" s="12"/>
      <c r="Q293" s="12"/>
      <c r="R293" s="12"/>
      <c r="S293" s="20">
        <v>66968.72</v>
      </c>
      <c r="T293" s="20">
        <v>1001.28</v>
      </c>
      <c r="U293" s="15"/>
      <c r="V293" s="15"/>
      <c r="W293" s="12"/>
      <c r="X293" s="15"/>
      <c r="Y293" s="16">
        <v>4567.58</v>
      </c>
      <c r="Z293" s="16"/>
      <c r="AA293" s="16"/>
      <c r="AB293" s="16"/>
      <c r="AC293" s="16"/>
      <c r="AD293" s="12">
        <f t="shared" si="65"/>
        <v>72537.58</v>
      </c>
      <c r="AE293" s="13">
        <f t="shared" si="66"/>
        <v>0</v>
      </c>
      <c r="AF293" s="14">
        <f t="shared" si="67"/>
        <v>0</v>
      </c>
      <c r="AG293" s="13">
        <f t="shared" si="68"/>
        <v>4105.9</v>
      </c>
      <c r="AH293" s="13">
        <f t="shared" si="69"/>
        <v>287.41</v>
      </c>
      <c r="AI293" s="13">
        <f t="shared" si="70"/>
        <v>123.18</v>
      </c>
      <c r="AJ293" s="13">
        <f t="shared" si="71"/>
        <v>82.12</v>
      </c>
      <c r="AK293" s="13">
        <f t="shared" si="72"/>
        <v>4078.19642857143</v>
      </c>
      <c r="AL293" s="13">
        <f t="shared" si="73"/>
        <v>489.38</v>
      </c>
      <c r="AM293" s="13">
        <f t="shared" si="74"/>
        <v>27.7</v>
      </c>
      <c r="AN293" s="13">
        <f t="shared" si="75"/>
        <v>1.94</v>
      </c>
      <c r="AO293" s="13">
        <f t="shared" si="76"/>
        <v>0.83</v>
      </c>
      <c r="AP293" s="13">
        <f t="shared" si="77"/>
        <v>0.56</v>
      </c>
      <c r="AQ293" s="13" t="str">
        <f t="shared" si="78"/>
        <v>TJ202512221650000111893</v>
      </c>
      <c r="AR293" s="13">
        <f t="shared" si="79"/>
        <v>0.06</v>
      </c>
    </row>
    <row r="294" spans="1:44">
      <c r="A294" s="43" t="s">
        <v>512</v>
      </c>
      <c r="B294" s="12" t="s">
        <v>513</v>
      </c>
      <c r="C294" s="12" t="s">
        <v>54</v>
      </c>
      <c r="D294" s="12" t="s">
        <v>55</v>
      </c>
      <c r="E294" s="12" t="s">
        <v>51</v>
      </c>
      <c r="F294" s="5">
        <f>ROUND(SUMIF([1]开票!$A$2:$A$1750,[1]申请!AQ294,[1]开票!$C$2:$C$1750),2)</f>
        <v>1868837.9</v>
      </c>
      <c r="G294" s="5">
        <f>ROUND(SUMIF([1]开票!$A$2:$A$1750,[1]申请!AQ294,[1]开票!$D$2:$D$1750),2)</f>
        <v>0</v>
      </c>
      <c r="H294" s="5">
        <f>ROUND(SUMIF([1]开票!$A$2:$A$1750,[1]申请!AQ294,[1]开票!$E$2:$E$1750),2)</f>
        <v>112130.27</v>
      </c>
      <c r="I294" s="5">
        <f t="shared" si="64"/>
        <v>1980968.17</v>
      </c>
      <c r="J294" s="12"/>
      <c r="K294" s="15"/>
      <c r="L294" s="15">
        <v>64203.41</v>
      </c>
      <c r="M294" s="12"/>
      <c r="N294" s="12"/>
      <c r="O294" s="12"/>
      <c r="P294" s="12"/>
      <c r="Q294" s="12"/>
      <c r="R294" s="12"/>
      <c r="S294" s="15">
        <v>1359725.64</v>
      </c>
      <c r="T294" s="15">
        <v>8059.03</v>
      </c>
      <c r="U294" s="15">
        <v>421692.52</v>
      </c>
      <c r="V294" s="12"/>
      <c r="W294" s="15">
        <v>8742</v>
      </c>
      <c r="X294" s="15">
        <v>5456.62</v>
      </c>
      <c r="Y294" s="15">
        <v>113088.95</v>
      </c>
      <c r="Z294" s="12"/>
      <c r="AA294" s="12"/>
      <c r="AB294" s="12"/>
      <c r="AC294" s="12"/>
      <c r="AD294" s="12">
        <f t="shared" si="65"/>
        <v>1980968.17</v>
      </c>
      <c r="AE294" s="13">
        <f t="shared" si="66"/>
        <v>0</v>
      </c>
      <c r="AF294" s="14">
        <f t="shared" si="67"/>
        <v>0</v>
      </c>
      <c r="AG294" s="13">
        <f t="shared" si="68"/>
        <v>112130.27</v>
      </c>
      <c r="AH294" s="13">
        <f t="shared" si="69"/>
        <v>7849.12</v>
      </c>
      <c r="AI294" s="13">
        <f t="shared" si="70"/>
        <v>3363.91</v>
      </c>
      <c r="AJ294" s="13">
        <f t="shared" si="71"/>
        <v>2242.61</v>
      </c>
      <c r="AK294" s="13">
        <f t="shared" si="72"/>
        <v>100972.276785714</v>
      </c>
      <c r="AL294" s="13">
        <f t="shared" si="73"/>
        <v>12116.67</v>
      </c>
      <c r="AM294" s="13">
        <f t="shared" si="74"/>
        <v>11157.99</v>
      </c>
      <c r="AN294" s="13">
        <f t="shared" si="75"/>
        <v>781.06</v>
      </c>
      <c r="AO294" s="13">
        <f t="shared" si="76"/>
        <v>334.74</v>
      </c>
      <c r="AP294" s="13">
        <f t="shared" si="77"/>
        <v>223.17</v>
      </c>
      <c r="AQ294" s="13" t="str">
        <f t="shared" si="78"/>
        <v>TJ202512240945000018291</v>
      </c>
      <c r="AR294" s="13">
        <f t="shared" si="79"/>
        <v>0.06</v>
      </c>
    </row>
    <row r="295" spans="1:44">
      <c r="A295" s="24" t="s">
        <v>514</v>
      </c>
      <c r="B295" s="12" t="s">
        <v>111</v>
      </c>
      <c r="C295" s="12" t="s">
        <v>54</v>
      </c>
      <c r="D295" s="12" t="s">
        <v>55</v>
      </c>
      <c r="E295" s="12" t="s">
        <v>51</v>
      </c>
      <c r="F295" s="5">
        <f>ROUND(SUMIF([1]开票!$A$2:$A$1750,[1]申请!AQ295,[1]开票!$C$2:$C$1750),2)</f>
        <v>432385.13</v>
      </c>
      <c r="G295" s="5">
        <f>ROUND(SUMIF([1]开票!$A$2:$A$1750,[1]申请!AQ295,[1]开票!$D$2:$D$1750),2)</f>
        <v>0</v>
      </c>
      <c r="H295" s="5">
        <f>ROUND(SUMIF([1]开票!$A$2:$A$1750,[1]申请!AQ295,[1]开票!$E$2:$E$1750),2)</f>
        <v>25943.11</v>
      </c>
      <c r="I295" s="5">
        <f t="shared" si="64"/>
        <v>458328.24</v>
      </c>
      <c r="J295" s="12"/>
      <c r="K295" s="15"/>
      <c r="L295" s="15">
        <v>458328.24</v>
      </c>
      <c r="M295" s="12"/>
      <c r="N295" s="12"/>
      <c r="O295" s="12"/>
      <c r="P295" s="12"/>
      <c r="Q295" s="12"/>
      <c r="R295" s="12"/>
      <c r="S295" s="12"/>
      <c r="T295" s="12"/>
      <c r="U295" s="15"/>
      <c r="V295" s="15"/>
      <c r="W295" s="12"/>
      <c r="X295" s="42"/>
      <c r="Y295" s="12"/>
      <c r="Z295" s="12"/>
      <c r="AA295" s="12"/>
      <c r="AB295" s="12"/>
      <c r="AC295" s="12"/>
      <c r="AD295" s="12">
        <f t="shared" si="65"/>
        <v>458328.24</v>
      </c>
      <c r="AE295" s="13">
        <f t="shared" si="66"/>
        <v>0</v>
      </c>
      <c r="AF295" s="14">
        <f t="shared" si="67"/>
        <v>0</v>
      </c>
      <c r="AG295" s="13">
        <f t="shared" si="68"/>
        <v>25943.11</v>
      </c>
      <c r="AH295" s="13">
        <f t="shared" si="69"/>
        <v>1816.02</v>
      </c>
      <c r="AI295" s="13">
        <f t="shared" si="70"/>
        <v>778.29</v>
      </c>
      <c r="AJ295" s="13">
        <f t="shared" si="71"/>
        <v>518.86</v>
      </c>
      <c r="AK295" s="13">
        <f t="shared" si="72"/>
        <v>0</v>
      </c>
      <c r="AL295" s="13">
        <f t="shared" si="73"/>
        <v>0</v>
      </c>
      <c r="AM295" s="13">
        <f t="shared" si="74"/>
        <v>25943.11</v>
      </c>
      <c r="AN295" s="13">
        <f t="shared" si="75"/>
        <v>1816.02</v>
      </c>
      <c r="AO295" s="13">
        <f t="shared" si="76"/>
        <v>778.29</v>
      </c>
      <c r="AP295" s="13">
        <f t="shared" si="77"/>
        <v>518.86</v>
      </c>
      <c r="AQ295" s="13" t="str">
        <f t="shared" si="78"/>
        <v>TJ202512221808000297137</v>
      </c>
      <c r="AR295" s="13">
        <f t="shared" si="79"/>
        <v>0.06</v>
      </c>
    </row>
    <row r="296" ht="15" spans="1:44">
      <c r="A296" s="24" t="s">
        <v>515</v>
      </c>
      <c r="B296" s="12" t="s">
        <v>516</v>
      </c>
      <c r="C296" s="12" t="s">
        <v>46</v>
      </c>
      <c r="D296" s="12" t="s">
        <v>47</v>
      </c>
      <c r="E296" s="12" t="s">
        <v>48</v>
      </c>
      <c r="F296" s="5">
        <f>ROUND(SUMIF([1]开票!$A$2:$A$1750,[1]申请!AQ296,[1]开票!$C$2:$C$1750),2)</f>
        <v>30756.61</v>
      </c>
      <c r="G296" s="5">
        <f>ROUND(SUMIF([1]开票!$A$2:$A$1750,[1]申请!AQ296,[1]开票!$D$2:$D$1750),2)</f>
        <v>4303668.88</v>
      </c>
      <c r="H296" s="5">
        <f>ROUND(SUMIF([1]开票!$A$2:$A$1750,[1]申请!AQ296,[1]开票!$E$2:$E$1750),2)</f>
        <v>1537.81</v>
      </c>
      <c r="I296" s="5">
        <f t="shared" si="64"/>
        <v>4335963.3</v>
      </c>
      <c r="J296" s="12">
        <v>17660</v>
      </c>
      <c r="K296" s="15"/>
      <c r="L296" s="12"/>
      <c r="M296" s="12"/>
      <c r="N296" s="12"/>
      <c r="O296" s="12"/>
      <c r="P296" s="12"/>
      <c r="Q296" s="12"/>
      <c r="R296" s="12"/>
      <c r="S296" s="20">
        <v>3440722.5</v>
      </c>
      <c r="T296" s="15">
        <v>95924.13</v>
      </c>
      <c r="U296" s="20">
        <v>727616.65</v>
      </c>
      <c r="V296" s="20">
        <v>39171.6</v>
      </c>
      <c r="W296" s="12">
        <v>234</v>
      </c>
      <c r="X296" s="42">
        <v>13858.35</v>
      </c>
      <c r="Y296" s="12">
        <v>776.07</v>
      </c>
      <c r="Z296" s="12"/>
      <c r="AA296" s="12"/>
      <c r="AB296" s="12"/>
      <c r="AC296" s="12"/>
      <c r="AD296" s="12">
        <f t="shared" si="65"/>
        <v>4335963.3</v>
      </c>
      <c r="AE296" s="13">
        <f t="shared" si="66"/>
        <v>0</v>
      </c>
      <c r="AF296" s="14">
        <f t="shared" si="67"/>
        <v>0</v>
      </c>
      <c r="AG296" s="13">
        <f t="shared" si="68"/>
        <v>1537.81</v>
      </c>
      <c r="AH296" s="13">
        <f t="shared" si="69"/>
        <v>107.65</v>
      </c>
      <c r="AI296" s="13">
        <f t="shared" si="70"/>
        <v>46.13</v>
      </c>
      <c r="AJ296" s="13">
        <f t="shared" si="71"/>
        <v>30.76</v>
      </c>
      <c r="AK296" s="13">
        <f t="shared" si="72"/>
        <v>692.919642857143</v>
      </c>
      <c r="AL296" s="13">
        <f t="shared" si="73"/>
        <v>83.15</v>
      </c>
      <c r="AM296" s="13">
        <f t="shared" si="74"/>
        <v>844.89</v>
      </c>
      <c r="AN296" s="13">
        <f t="shared" si="75"/>
        <v>59.14</v>
      </c>
      <c r="AO296" s="13">
        <f t="shared" si="76"/>
        <v>25.35</v>
      </c>
      <c r="AP296" s="13">
        <f t="shared" si="77"/>
        <v>16.9</v>
      </c>
      <c r="AQ296" s="13" t="str">
        <f t="shared" si="78"/>
        <v>TJ202512230907000310937</v>
      </c>
      <c r="AR296" s="13">
        <f t="shared" si="79"/>
        <v>0.05</v>
      </c>
    </row>
    <row r="297" ht="15" spans="1:44">
      <c r="A297" s="15" t="s">
        <v>517</v>
      </c>
      <c r="B297" s="12" t="s">
        <v>492</v>
      </c>
      <c r="C297" s="12" t="s">
        <v>54</v>
      </c>
      <c r="D297" s="12" t="s">
        <v>47</v>
      </c>
      <c r="E297" s="12" t="s">
        <v>51</v>
      </c>
      <c r="F297" s="5">
        <f>ROUND(SUMIF([1]开票!$A$2:$A$1750,[1]申请!AQ297,[1]开票!$C$2:$C$1750),2)</f>
        <v>10420.3</v>
      </c>
      <c r="G297" s="5">
        <f>ROUND(SUMIF([1]开票!$A$2:$A$1750,[1]申请!AQ297,[1]开票!$D$2:$D$1750),2)</f>
        <v>0</v>
      </c>
      <c r="H297" s="5">
        <f>ROUND(SUMIF([1]开票!$A$2:$A$1750,[1]申请!AQ297,[1]开票!$E$2:$E$1750),2)</f>
        <v>625.22</v>
      </c>
      <c r="I297" s="5">
        <f t="shared" si="64"/>
        <v>11045.52</v>
      </c>
      <c r="J297" s="12"/>
      <c r="K297" s="32"/>
      <c r="L297" s="15"/>
      <c r="M297" s="42"/>
      <c r="N297" s="12"/>
      <c r="O297" s="12"/>
      <c r="P297" s="12"/>
      <c r="Q297" s="12"/>
      <c r="R297" s="12"/>
      <c r="S297" s="12"/>
      <c r="T297" s="12"/>
      <c r="U297" s="17"/>
      <c r="V297" s="20"/>
      <c r="W297" s="12"/>
      <c r="X297" s="42"/>
      <c r="Y297" s="12">
        <v>695.52</v>
      </c>
      <c r="Z297" s="12"/>
      <c r="AA297" s="12">
        <v>10350</v>
      </c>
      <c r="AB297" s="12"/>
      <c r="AC297" s="12"/>
      <c r="AD297" s="12">
        <f t="shared" si="65"/>
        <v>11045.52</v>
      </c>
      <c r="AE297" s="13">
        <f t="shared" si="66"/>
        <v>0</v>
      </c>
      <c r="AF297" s="14">
        <f t="shared" si="67"/>
        <v>0</v>
      </c>
      <c r="AG297" s="13">
        <f t="shared" si="68"/>
        <v>625.22</v>
      </c>
      <c r="AH297" s="13">
        <f t="shared" si="69"/>
        <v>43.77</v>
      </c>
      <c r="AI297" s="13">
        <f t="shared" si="70"/>
        <v>18.76</v>
      </c>
      <c r="AJ297" s="13">
        <f t="shared" si="71"/>
        <v>12.5</v>
      </c>
      <c r="AK297" s="13">
        <f t="shared" si="72"/>
        <v>621</v>
      </c>
      <c r="AL297" s="13">
        <f t="shared" si="73"/>
        <v>74.52</v>
      </c>
      <c r="AM297" s="13">
        <f t="shared" si="74"/>
        <v>4.22</v>
      </c>
      <c r="AN297" s="13">
        <f t="shared" si="75"/>
        <v>0.3</v>
      </c>
      <c r="AO297" s="13">
        <f t="shared" si="76"/>
        <v>0.13</v>
      </c>
      <c r="AP297" s="13">
        <f t="shared" si="77"/>
        <v>0.08</v>
      </c>
      <c r="AQ297" s="13" t="str">
        <f t="shared" si="78"/>
        <v>TJ202512230911000202997</v>
      </c>
      <c r="AR297" s="13">
        <f t="shared" si="79"/>
        <v>0.06</v>
      </c>
    </row>
    <row r="298" ht="15" spans="1:44">
      <c r="A298" s="15" t="s">
        <v>518</v>
      </c>
      <c r="B298" s="12" t="s">
        <v>516</v>
      </c>
      <c r="C298" s="12" t="s">
        <v>46</v>
      </c>
      <c r="D298" s="12" t="s">
        <v>47</v>
      </c>
      <c r="E298" s="12" t="s">
        <v>48</v>
      </c>
      <c r="F298" s="5">
        <f>ROUND(SUMIF([1]开票!$A$2:$A$1750,[1]申请!AQ298,[1]开票!$C$2:$C$1750),2)</f>
        <v>0</v>
      </c>
      <c r="G298" s="5">
        <f>ROUND(SUMIF([1]开票!$A$2:$A$1750,[1]申请!AQ298,[1]开票!$D$2:$D$1750),2)</f>
        <v>7000</v>
      </c>
      <c r="H298" s="5">
        <f>ROUND(SUMIF([1]开票!$A$2:$A$1750,[1]申请!AQ298,[1]开票!$E$2:$E$1750),2)</f>
        <v>0</v>
      </c>
      <c r="I298" s="5">
        <f t="shared" si="64"/>
        <v>7000</v>
      </c>
      <c r="J298" s="20">
        <v>0</v>
      </c>
      <c r="K298" s="15"/>
      <c r="L298" s="12"/>
      <c r="M298" s="12"/>
      <c r="N298" s="12"/>
      <c r="O298" s="12"/>
      <c r="P298" s="12"/>
      <c r="Q298" s="12"/>
      <c r="R298" s="12"/>
      <c r="S298" s="20">
        <v>6958.95</v>
      </c>
      <c r="T298" s="20">
        <v>41.05</v>
      </c>
      <c r="U298" s="15">
        <v>0</v>
      </c>
      <c r="V298" s="20">
        <v>0</v>
      </c>
      <c r="W298" s="32">
        <v>0</v>
      </c>
      <c r="X298" s="20">
        <v>0</v>
      </c>
      <c r="Y298" s="20">
        <v>0</v>
      </c>
      <c r="Z298" s="12"/>
      <c r="AA298" s="12"/>
      <c r="AB298" s="12"/>
      <c r="AC298" s="12"/>
      <c r="AD298" s="12">
        <f t="shared" si="65"/>
        <v>7000</v>
      </c>
      <c r="AE298" s="13">
        <f t="shared" si="66"/>
        <v>0</v>
      </c>
      <c r="AF298" s="22">
        <f t="shared" si="67"/>
        <v>0</v>
      </c>
      <c r="AG298" s="13">
        <f t="shared" si="68"/>
        <v>0</v>
      </c>
      <c r="AH298" s="13">
        <f t="shared" si="69"/>
        <v>0</v>
      </c>
      <c r="AI298" s="13">
        <f t="shared" si="70"/>
        <v>0</v>
      </c>
      <c r="AJ298" s="13">
        <f t="shared" si="71"/>
        <v>0</v>
      </c>
      <c r="AK298" s="13">
        <f t="shared" si="72"/>
        <v>0</v>
      </c>
      <c r="AL298" s="13">
        <f t="shared" si="73"/>
        <v>0</v>
      </c>
      <c r="AM298" s="13">
        <f t="shared" si="74"/>
        <v>0</v>
      </c>
      <c r="AN298" s="13">
        <f t="shared" si="75"/>
        <v>0</v>
      </c>
      <c r="AO298" s="13">
        <f t="shared" si="76"/>
        <v>0</v>
      </c>
      <c r="AP298" s="13">
        <f t="shared" si="77"/>
        <v>0</v>
      </c>
      <c r="AQ298" s="13" t="str">
        <f t="shared" si="78"/>
        <v>TJ202512230922000460219</v>
      </c>
      <c r="AR298" s="13">
        <f t="shared" si="79"/>
        <v>0.05</v>
      </c>
    </row>
    <row r="299" ht="15" spans="1:44">
      <c r="A299" s="15" t="s">
        <v>519</v>
      </c>
      <c r="B299" s="12" t="s">
        <v>520</v>
      </c>
      <c r="C299" s="12" t="s">
        <v>54</v>
      </c>
      <c r="D299" s="12" t="s">
        <v>47</v>
      </c>
      <c r="E299" s="12" t="s">
        <v>65</v>
      </c>
      <c r="F299" s="5">
        <f>ROUND(SUMIF([1]开票!$A$2:$A$1750,[1]申请!AQ299,[1]开票!$C$2:$C$1750),2)</f>
        <v>16035.7</v>
      </c>
      <c r="G299" s="5">
        <f>ROUND(SUMIF([1]开票!$A$2:$A$1750,[1]申请!AQ299,[1]开票!$D$2:$D$1750),2)</f>
        <v>0</v>
      </c>
      <c r="H299" s="5">
        <f>ROUND(SUMIF([1]开票!$A$2:$A$1750,[1]申请!AQ299,[1]开票!$E$2:$E$1750),2)</f>
        <v>962.14</v>
      </c>
      <c r="I299" s="5">
        <f t="shared" si="64"/>
        <v>16997.84</v>
      </c>
      <c r="J299" s="12"/>
      <c r="K299" s="32"/>
      <c r="L299" s="12"/>
      <c r="M299" s="12"/>
      <c r="N299" s="12"/>
      <c r="O299" s="12"/>
      <c r="P299" s="12"/>
      <c r="Q299" s="12"/>
      <c r="R299" s="12"/>
      <c r="S299" s="15">
        <v>15920.05</v>
      </c>
      <c r="T299" s="15">
        <v>0</v>
      </c>
      <c r="U299" s="15"/>
      <c r="V299" s="16"/>
      <c r="W299" s="12"/>
      <c r="X299" s="12"/>
      <c r="Y299" s="12">
        <v>1077.79</v>
      </c>
      <c r="Z299" s="12"/>
      <c r="AA299" s="15"/>
      <c r="AB299" s="12"/>
      <c r="AC299" s="12"/>
      <c r="AD299" s="12">
        <f t="shared" si="65"/>
        <v>16997.84</v>
      </c>
      <c r="AE299" s="13">
        <f t="shared" si="66"/>
        <v>0</v>
      </c>
      <c r="AF299" s="14">
        <f t="shared" si="67"/>
        <v>0</v>
      </c>
      <c r="AG299" s="13">
        <f t="shared" si="68"/>
        <v>962.14</v>
      </c>
      <c r="AH299" s="13">
        <f t="shared" si="69"/>
        <v>67.35</v>
      </c>
      <c r="AI299" s="13">
        <f t="shared" si="70"/>
        <v>28.86</v>
      </c>
      <c r="AJ299" s="13">
        <f t="shared" si="71"/>
        <v>19.24</v>
      </c>
      <c r="AK299" s="13">
        <f t="shared" si="72"/>
        <v>962.3125</v>
      </c>
      <c r="AL299" s="13">
        <f t="shared" si="73"/>
        <v>115.48</v>
      </c>
      <c r="AM299" s="13">
        <f t="shared" si="74"/>
        <v>-0.17</v>
      </c>
      <c r="AN299" s="13">
        <f t="shared" si="75"/>
        <v>-0.01</v>
      </c>
      <c r="AO299" s="13">
        <f t="shared" si="76"/>
        <v>-0.01</v>
      </c>
      <c r="AP299" s="13">
        <f t="shared" si="77"/>
        <v>-0.01</v>
      </c>
      <c r="AQ299" s="13" t="str">
        <f t="shared" si="78"/>
        <v>TJ202512230932000483273</v>
      </c>
      <c r="AR299" s="13">
        <f t="shared" si="79"/>
        <v>0.06</v>
      </c>
    </row>
    <row r="300" ht="15" spans="1:44">
      <c r="A300" s="15" t="s">
        <v>521</v>
      </c>
      <c r="B300" s="12" t="s">
        <v>520</v>
      </c>
      <c r="C300" s="12" t="s">
        <v>54</v>
      </c>
      <c r="D300" s="12" t="s">
        <v>47</v>
      </c>
      <c r="E300" s="12" t="s">
        <v>65</v>
      </c>
      <c r="F300" s="5">
        <f>ROUND(SUMIF([1]开票!$A$2:$A$1750,[1]申请!AQ300,[1]开票!$C$2:$C$1750),2)</f>
        <v>1826.3</v>
      </c>
      <c r="G300" s="5">
        <f>ROUND(SUMIF([1]开票!$A$2:$A$1750,[1]申请!AQ300,[1]开票!$D$2:$D$1750),2)</f>
        <v>0</v>
      </c>
      <c r="H300" s="5">
        <f>ROUND(SUMIF([1]开票!$A$2:$A$1750,[1]申请!AQ300,[1]开票!$E$2:$E$1750),2)</f>
        <v>109.58</v>
      </c>
      <c r="I300" s="5">
        <f t="shared" si="64"/>
        <v>1935.88</v>
      </c>
      <c r="J300" s="32">
        <v>175</v>
      </c>
      <c r="K300" s="32"/>
      <c r="L300" s="12"/>
      <c r="M300" s="12"/>
      <c r="N300" s="12"/>
      <c r="O300" s="12"/>
      <c r="P300" s="12"/>
      <c r="Q300" s="12"/>
      <c r="R300" s="12"/>
      <c r="S300" s="20"/>
      <c r="T300" s="20"/>
      <c r="U300" s="15">
        <v>1621.3</v>
      </c>
      <c r="V300" s="20"/>
      <c r="W300" s="12"/>
      <c r="X300" s="32">
        <v>27.93</v>
      </c>
      <c r="Y300" s="12">
        <v>111.65</v>
      </c>
      <c r="Z300" s="12"/>
      <c r="AA300" s="12"/>
      <c r="AB300" s="12"/>
      <c r="AC300" s="12"/>
      <c r="AD300" s="12">
        <f t="shared" si="65"/>
        <v>1935.88</v>
      </c>
      <c r="AE300" s="13">
        <f t="shared" si="66"/>
        <v>0</v>
      </c>
      <c r="AF300" s="14">
        <f t="shared" si="67"/>
        <v>0</v>
      </c>
      <c r="AG300" s="13">
        <f t="shared" si="68"/>
        <v>109.58</v>
      </c>
      <c r="AH300" s="13">
        <f t="shared" si="69"/>
        <v>7.67</v>
      </c>
      <c r="AI300" s="13">
        <f t="shared" si="70"/>
        <v>3.29</v>
      </c>
      <c r="AJ300" s="13">
        <f t="shared" si="71"/>
        <v>2.19</v>
      </c>
      <c r="AK300" s="13">
        <f t="shared" si="72"/>
        <v>99.6875</v>
      </c>
      <c r="AL300" s="13">
        <f t="shared" si="73"/>
        <v>11.96</v>
      </c>
      <c r="AM300" s="13">
        <f t="shared" si="74"/>
        <v>9.89</v>
      </c>
      <c r="AN300" s="13">
        <f t="shared" si="75"/>
        <v>0.69</v>
      </c>
      <c r="AO300" s="13">
        <f t="shared" si="76"/>
        <v>0.3</v>
      </c>
      <c r="AP300" s="13">
        <f t="shared" si="77"/>
        <v>0.2</v>
      </c>
      <c r="AQ300" s="13" t="str">
        <f t="shared" si="78"/>
        <v>TJ202512230938000184689</v>
      </c>
      <c r="AR300" s="13">
        <f t="shared" si="79"/>
        <v>0.06</v>
      </c>
    </row>
    <row r="301" ht="15" spans="1:44">
      <c r="A301" s="15" t="s">
        <v>522</v>
      </c>
      <c r="B301" s="12" t="s">
        <v>253</v>
      </c>
      <c r="C301" s="12" t="s">
        <v>46</v>
      </c>
      <c r="D301" s="12" t="s">
        <v>47</v>
      </c>
      <c r="E301" s="12" t="s">
        <v>51</v>
      </c>
      <c r="F301" s="5">
        <f>ROUND(SUMIF([1]开票!$A$2:$A$1750,[1]申请!AQ301,[1]开票!$C$2:$C$1750),2)</f>
        <v>0</v>
      </c>
      <c r="G301" s="5">
        <f>ROUND(SUMIF([1]开票!$A$2:$A$1750,[1]申请!AQ301,[1]开票!$D$2:$D$1750),2)</f>
        <v>84800</v>
      </c>
      <c r="H301" s="5">
        <f>ROUND(SUMIF([1]开票!$A$2:$A$1750,[1]申请!AQ301,[1]开票!$E$2:$E$1750),2)</f>
        <v>0</v>
      </c>
      <c r="I301" s="5">
        <f t="shared" si="64"/>
        <v>84800</v>
      </c>
      <c r="J301" s="12"/>
      <c r="K301" s="32"/>
      <c r="L301" s="15"/>
      <c r="M301" s="12"/>
      <c r="N301" s="12"/>
      <c r="O301" s="12"/>
      <c r="P301" s="12"/>
      <c r="Q301" s="12"/>
      <c r="R301" s="12"/>
      <c r="S301" s="20"/>
      <c r="T301" s="12"/>
      <c r="U301" s="20"/>
      <c r="V301" s="20"/>
      <c r="W301" s="12">
        <v>84800</v>
      </c>
      <c r="X301" s="12"/>
      <c r="Y301" s="12"/>
      <c r="Z301" s="12"/>
      <c r="AA301" s="12"/>
      <c r="AB301" s="12"/>
      <c r="AC301" s="12"/>
      <c r="AD301" s="12">
        <f t="shared" si="65"/>
        <v>84800</v>
      </c>
      <c r="AE301" s="13">
        <f t="shared" si="66"/>
        <v>0</v>
      </c>
      <c r="AF301" s="14">
        <f t="shared" si="67"/>
        <v>0</v>
      </c>
      <c r="AG301" s="13">
        <f t="shared" si="68"/>
        <v>0</v>
      </c>
      <c r="AH301" s="13">
        <f t="shared" si="69"/>
        <v>0</v>
      </c>
      <c r="AI301" s="13">
        <f t="shared" si="70"/>
        <v>0</v>
      </c>
      <c r="AJ301" s="13">
        <f t="shared" si="71"/>
        <v>0</v>
      </c>
      <c r="AK301" s="13">
        <f t="shared" si="72"/>
        <v>0</v>
      </c>
      <c r="AL301" s="13">
        <f t="shared" si="73"/>
        <v>0</v>
      </c>
      <c r="AM301" s="13">
        <f t="shared" si="74"/>
        <v>0</v>
      </c>
      <c r="AN301" s="13">
        <f t="shared" si="75"/>
        <v>0</v>
      </c>
      <c r="AO301" s="13">
        <f t="shared" si="76"/>
        <v>0</v>
      </c>
      <c r="AP301" s="13">
        <f t="shared" si="77"/>
        <v>0</v>
      </c>
      <c r="AQ301" s="13" t="str">
        <f t="shared" si="78"/>
        <v>TJ202512230959000589996</v>
      </c>
      <c r="AR301" s="13">
        <f t="shared" si="79"/>
        <v>0.06</v>
      </c>
    </row>
    <row r="302" ht="15" spans="1:44">
      <c r="A302" s="15" t="s">
        <v>523</v>
      </c>
      <c r="B302" s="12" t="s">
        <v>524</v>
      </c>
      <c r="C302" s="12" t="s">
        <v>120</v>
      </c>
      <c r="D302" s="12" t="s">
        <v>121</v>
      </c>
      <c r="E302" s="12" t="s">
        <v>48</v>
      </c>
      <c r="F302" s="5">
        <f>ROUND(SUMIF([1]开票!$A$2:$A$1750,[1]申请!AQ302,[1]开票!$C$2:$C$1750),2)</f>
        <v>3323.81</v>
      </c>
      <c r="G302" s="5">
        <f>ROUND(SUMIF([1]开票!$A$2:$A$1750,[1]申请!AQ302,[1]开票!$D$2:$D$1750),2)</f>
        <v>114090.89</v>
      </c>
      <c r="H302" s="5">
        <f>ROUND(SUMIF([1]开票!$A$2:$A$1750,[1]申请!AQ302,[1]开票!$E$2:$E$1750),2)</f>
        <v>166.19</v>
      </c>
      <c r="I302" s="5">
        <f t="shared" si="64"/>
        <v>117580.89</v>
      </c>
      <c r="J302" s="12"/>
      <c r="K302" s="32">
        <v>3490</v>
      </c>
      <c r="L302" s="12"/>
      <c r="M302" s="12"/>
      <c r="N302" s="12"/>
      <c r="O302" s="12"/>
      <c r="P302" s="12"/>
      <c r="Q302" s="12"/>
      <c r="R302" s="12"/>
      <c r="S302" s="15"/>
      <c r="T302" s="15"/>
      <c r="U302" s="20">
        <v>113570.89</v>
      </c>
      <c r="V302" s="12"/>
      <c r="W302" s="12"/>
      <c r="X302" s="12">
        <v>520</v>
      </c>
      <c r="Y302" s="12"/>
      <c r="Z302" s="12"/>
      <c r="AA302" s="12"/>
      <c r="AB302" s="12"/>
      <c r="AC302" s="12"/>
      <c r="AD302" s="12">
        <f t="shared" si="65"/>
        <v>117580.89</v>
      </c>
      <c r="AE302" s="13">
        <f t="shared" si="66"/>
        <v>0</v>
      </c>
      <c r="AF302" s="14">
        <f t="shared" si="67"/>
        <v>0</v>
      </c>
      <c r="AG302" s="13">
        <f t="shared" si="68"/>
        <v>166.19</v>
      </c>
      <c r="AH302" s="13">
        <f t="shared" si="69"/>
        <v>11.63</v>
      </c>
      <c r="AI302" s="13">
        <f t="shared" si="70"/>
        <v>4.99</v>
      </c>
      <c r="AJ302" s="13">
        <f t="shared" si="71"/>
        <v>3.32</v>
      </c>
      <c r="AK302" s="13">
        <f t="shared" si="72"/>
        <v>0</v>
      </c>
      <c r="AL302" s="13">
        <f t="shared" si="73"/>
        <v>0</v>
      </c>
      <c r="AM302" s="13">
        <f t="shared" si="74"/>
        <v>166.19</v>
      </c>
      <c r="AN302" s="13">
        <f t="shared" si="75"/>
        <v>11.63</v>
      </c>
      <c r="AO302" s="13">
        <f t="shared" si="76"/>
        <v>4.99</v>
      </c>
      <c r="AP302" s="13">
        <f t="shared" si="77"/>
        <v>3.32</v>
      </c>
      <c r="AQ302" s="13" t="str">
        <f t="shared" si="78"/>
        <v>TJ202512231019000519060</v>
      </c>
      <c r="AR302" s="13">
        <f t="shared" si="79"/>
        <v>0.05</v>
      </c>
    </row>
    <row r="303" spans="1:44">
      <c r="A303" s="15" t="s">
        <v>525</v>
      </c>
      <c r="B303" s="12" t="s">
        <v>526</v>
      </c>
      <c r="C303" s="12" t="s">
        <v>527</v>
      </c>
      <c r="D303" s="12" t="s">
        <v>60</v>
      </c>
      <c r="E303" s="12" t="s">
        <v>51</v>
      </c>
      <c r="F303" s="5">
        <f>ROUND(SUMIF([1]开票!$A$2:$A$1750,[1]申请!AQ303,[1]开票!$C$2:$C$1750),2)</f>
        <v>384575.01</v>
      </c>
      <c r="G303" s="5">
        <f>ROUND(SUMIF([1]开票!$A$2:$A$1750,[1]申请!AQ303,[1]开票!$D$2:$D$1750),2)</f>
        <v>0</v>
      </c>
      <c r="H303" s="5">
        <f>ROUND(SUMIF([1]开票!$A$2:$A$1750,[1]申请!AQ303,[1]开票!$E$2:$E$1750),2)</f>
        <v>23074.5</v>
      </c>
      <c r="I303" s="5">
        <f t="shared" si="64"/>
        <v>407649.51</v>
      </c>
      <c r="J303" s="12"/>
      <c r="K303" s="12"/>
      <c r="L303" s="15"/>
      <c r="M303" s="12"/>
      <c r="N303" s="12"/>
      <c r="O303" s="12"/>
      <c r="P303" s="12"/>
      <c r="Q303" s="12">
        <v>19411.89</v>
      </c>
      <c r="R303" s="12"/>
      <c r="S303" s="15"/>
      <c r="T303" s="15"/>
      <c r="U303" s="12"/>
      <c r="V303" s="12"/>
      <c r="W303" s="12"/>
      <c r="X303" s="12"/>
      <c r="Y303" s="12"/>
      <c r="Z303" s="12">
        <v>388237.62</v>
      </c>
      <c r="AA303" s="12"/>
      <c r="AB303" s="12"/>
      <c r="AC303" s="12"/>
      <c r="AD303" s="12">
        <f t="shared" si="65"/>
        <v>407649.51</v>
      </c>
      <c r="AE303" s="13">
        <f t="shared" si="66"/>
        <v>0</v>
      </c>
      <c r="AF303" s="14">
        <f t="shared" si="67"/>
        <v>0</v>
      </c>
      <c r="AG303" s="13">
        <f t="shared" si="68"/>
        <v>23074.5</v>
      </c>
      <c r="AH303" s="13">
        <f t="shared" si="69"/>
        <v>1615.22</v>
      </c>
      <c r="AI303" s="13">
        <f t="shared" si="70"/>
        <v>692.24</v>
      </c>
      <c r="AJ303" s="13">
        <f t="shared" si="71"/>
        <v>461.49</v>
      </c>
      <c r="AK303" s="13">
        <f t="shared" si="72"/>
        <v>0</v>
      </c>
      <c r="AL303" s="13">
        <f t="shared" si="73"/>
        <v>0</v>
      </c>
      <c r="AM303" s="13">
        <f t="shared" si="74"/>
        <v>23074.5</v>
      </c>
      <c r="AN303" s="13">
        <f t="shared" si="75"/>
        <v>1615.22</v>
      </c>
      <c r="AO303" s="13">
        <f t="shared" si="76"/>
        <v>692.24</v>
      </c>
      <c r="AP303" s="13">
        <f t="shared" si="77"/>
        <v>461.49</v>
      </c>
      <c r="AQ303" s="13" t="str">
        <f t="shared" si="78"/>
        <v>TJ202512231124000290212</v>
      </c>
      <c r="AR303" s="13">
        <f t="shared" si="79"/>
        <v>0.06</v>
      </c>
    </row>
    <row r="304" ht="15" spans="1:44">
      <c r="A304" s="15" t="s">
        <v>528</v>
      </c>
      <c r="B304" s="12" t="s">
        <v>529</v>
      </c>
      <c r="C304" s="12" t="s">
        <v>46</v>
      </c>
      <c r="D304" s="12" t="s">
        <v>47</v>
      </c>
      <c r="E304" s="12" t="s">
        <v>48</v>
      </c>
      <c r="F304" s="5">
        <f>ROUND(SUMIF([1]开票!$A$2:$A$1750,[1]申请!AQ304,[1]开票!$C$2:$C$1750),2)</f>
        <v>90.51</v>
      </c>
      <c r="G304" s="5">
        <f>ROUND(SUMIF([1]开票!$A$2:$A$1750,[1]申请!AQ304,[1]开票!$D$2:$D$1750),2)</f>
        <v>4297.26</v>
      </c>
      <c r="H304" s="5">
        <f>ROUND(SUMIF([1]开票!$A$2:$A$1750,[1]申请!AQ304,[1]开票!$E$2:$E$1750),2)</f>
        <v>4.53</v>
      </c>
      <c r="I304" s="5">
        <f t="shared" si="64"/>
        <v>4392.3</v>
      </c>
      <c r="J304" s="32"/>
      <c r="K304" s="32">
        <v>95.04</v>
      </c>
      <c r="L304" s="12"/>
      <c r="M304" s="12"/>
      <c r="N304" s="12"/>
      <c r="O304" s="12"/>
      <c r="P304" s="12"/>
      <c r="Q304" s="12"/>
      <c r="R304" s="12"/>
      <c r="S304" s="20"/>
      <c r="T304" s="20"/>
      <c r="U304" s="20">
        <v>4297.26</v>
      </c>
      <c r="V304" s="32"/>
      <c r="W304" s="12"/>
      <c r="X304" s="32"/>
      <c r="Y304" s="12"/>
      <c r="Z304" s="12"/>
      <c r="AA304" s="12"/>
      <c r="AB304" s="12"/>
      <c r="AC304" s="12"/>
      <c r="AD304" s="12">
        <f t="shared" si="65"/>
        <v>4392.3</v>
      </c>
      <c r="AE304" s="13">
        <f t="shared" si="66"/>
        <v>0</v>
      </c>
      <c r="AF304" s="14">
        <f t="shared" si="67"/>
        <v>0</v>
      </c>
      <c r="AG304" s="13">
        <f t="shared" si="68"/>
        <v>4.53</v>
      </c>
      <c r="AH304" s="13">
        <f t="shared" si="69"/>
        <v>0.32</v>
      </c>
      <c r="AI304" s="13">
        <f t="shared" si="70"/>
        <v>0.14</v>
      </c>
      <c r="AJ304" s="13">
        <f t="shared" si="71"/>
        <v>0.09</v>
      </c>
      <c r="AK304" s="13">
        <f t="shared" si="72"/>
        <v>0</v>
      </c>
      <c r="AL304" s="13">
        <f t="shared" si="73"/>
        <v>0</v>
      </c>
      <c r="AM304" s="13">
        <f t="shared" si="74"/>
        <v>4.53</v>
      </c>
      <c r="AN304" s="13">
        <f t="shared" si="75"/>
        <v>0.32</v>
      </c>
      <c r="AO304" s="13">
        <f t="shared" si="76"/>
        <v>0.14</v>
      </c>
      <c r="AP304" s="13">
        <f t="shared" si="77"/>
        <v>0.09</v>
      </c>
      <c r="AQ304" s="13" t="str">
        <f t="shared" si="78"/>
        <v>TJ202512231338000375270</v>
      </c>
      <c r="AR304" s="13">
        <f t="shared" si="79"/>
        <v>0.05</v>
      </c>
    </row>
    <row r="305" ht="15" spans="1:44">
      <c r="A305" s="24" t="s">
        <v>530</v>
      </c>
      <c r="B305" s="12" t="s">
        <v>531</v>
      </c>
      <c r="C305" s="12" t="s">
        <v>54</v>
      </c>
      <c r="D305" s="12" t="s">
        <v>55</v>
      </c>
      <c r="E305" s="12" t="s">
        <v>51</v>
      </c>
      <c r="F305" s="5">
        <f>ROUND(SUMIF([1]开票!$A$2:$A$1750,[1]申请!AQ305,[1]开票!$C$2:$C$1750),2)</f>
        <v>11259320.71</v>
      </c>
      <c r="G305" s="5">
        <f>ROUND(SUMIF([1]开票!$A$2:$A$1750,[1]申请!AQ305,[1]开票!$D$2:$D$1750),2)</f>
        <v>0</v>
      </c>
      <c r="H305" s="5">
        <f>ROUND(SUMIF([1]开票!$A$2:$A$1750,[1]申请!AQ305,[1]开票!$E$2:$E$1750),2)</f>
        <v>675559.24</v>
      </c>
      <c r="I305" s="5">
        <f t="shared" si="64"/>
        <v>11934879.95</v>
      </c>
      <c r="J305" s="12"/>
      <c r="K305" s="45"/>
      <c r="L305" s="12">
        <v>11934879.95</v>
      </c>
      <c r="M305" s="12"/>
      <c r="N305" s="12"/>
      <c r="O305" s="12"/>
      <c r="P305" s="12"/>
      <c r="Q305" s="12"/>
      <c r="R305" s="12"/>
      <c r="S305" s="46"/>
      <c r="T305" s="46"/>
      <c r="U305" s="46"/>
      <c r="V305" s="12"/>
      <c r="W305" s="12"/>
      <c r="X305" s="12"/>
      <c r="Y305" s="12"/>
      <c r="Z305" s="12"/>
      <c r="AA305" s="12"/>
      <c r="AB305" s="12"/>
      <c r="AC305" s="12"/>
      <c r="AD305" s="12">
        <f t="shared" si="65"/>
        <v>11934879.95</v>
      </c>
      <c r="AE305" s="21">
        <f t="shared" si="66"/>
        <v>0</v>
      </c>
      <c r="AF305" s="22">
        <f t="shared" si="67"/>
        <v>0</v>
      </c>
      <c r="AG305" s="21">
        <f t="shared" si="68"/>
        <v>675559.24</v>
      </c>
      <c r="AH305" s="21">
        <f t="shared" si="69"/>
        <v>47289.15</v>
      </c>
      <c r="AI305" s="21">
        <f t="shared" si="70"/>
        <v>20266.78</v>
      </c>
      <c r="AJ305" s="21">
        <f t="shared" si="71"/>
        <v>13511.18</v>
      </c>
      <c r="AK305" s="21">
        <f t="shared" si="72"/>
        <v>0</v>
      </c>
      <c r="AL305" s="21">
        <f t="shared" si="73"/>
        <v>0</v>
      </c>
      <c r="AM305" s="21">
        <f t="shared" si="74"/>
        <v>675559.24</v>
      </c>
      <c r="AN305" s="21">
        <f t="shared" si="75"/>
        <v>47289.15</v>
      </c>
      <c r="AO305" s="21">
        <f t="shared" si="76"/>
        <v>20266.78</v>
      </c>
      <c r="AP305" s="21">
        <f t="shared" si="77"/>
        <v>13511.18</v>
      </c>
      <c r="AQ305" s="21" t="str">
        <f t="shared" si="78"/>
        <v>TJ202512231436000099384</v>
      </c>
      <c r="AR305" s="21">
        <f t="shared" si="79"/>
        <v>0.06</v>
      </c>
    </row>
    <row r="306" ht="15" spans="1:44">
      <c r="A306" s="15" t="s">
        <v>532</v>
      </c>
      <c r="B306" s="12" t="s">
        <v>59</v>
      </c>
      <c r="C306" s="12" t="s">
        <v>54</v>
      </c>
      <c r="D306" s="12" t="s">
        <v>60</v>
      </c>
      <c r="E306" s="12" t="s">
        <v>51</v>
      </c>
      <c r="F306" s="5">
        <f>ROUND(SUMIF([1]开票!$A$2:$A$1750,[1]申请!AQ306,[1]开票!$C$2:$C$1750),2)</f>
        <v>13584.91</v>
      </c>
      <c r="G306" s="5">
        <f>ROUND(SUMIF([1]开票!$A$2:$A$1750,[1]申请!AQ306,[1]开票!$D$2:$D$1750),2)</f>
        <v>0</v>
      </c>
      <c r="H306" s="5">
        <f>ROUND(SUMIF([1]开票!$A$2:$A$1750,[1]申请!AQ306,[1]开票!$E$2:$E$1750),2)</f>
        <v>815.09</v>
      </c>
      <c r="I306" s="5">
        <f t="shared" si="64"/>
        <v>14400</v>
      </c>
      <c r="J306" s="12"/>
      <c r="K306" s="32"/>
      <c r="L306" s="12"/>
      <c r="M306" s="12"/>
      <c r="N306" s="12"/>
      <c r="O306" s="12"/>
      <c r="P306" s="12"/>
      <c r="Q306" s="12">
        <v>942.06</v>
      </c>
      <c r="R306" s="12"/>
      <c r="S306" s="20"/>
      <c r="T306" s="32"/>
      <c r="U306" s="20"/>
      <c r="V306" s="12"/>
      <c r="W306" s="12"/>
      <c r="X306" s="12"/>
      <c r="Y306" s="12"/>
      <c r="Z306" s="12">
        <v>13457.94</v>
      </c>
      <c r="AA306" s="12"/>
      <c r="AB306" s="12"/>
      <c r="AC306" s="12"/>
      <c r="AD306" s="12">
        <f t="shared" si="65"/>
        <v>14400</v>
      </c>
      <c r="AE306" s="13">
        <f t="shared" si="66"/>
        <v>0</v>
      </c>
      <c r="AF306" s="14">
        <f t="shared" si="67"/>
        <v>0</v>
      </c>
      <c r="AG306" s="13">
        <f t="shared" si="68"/>
        <v>815.09</v>
      </c>
      <c r="AH306" s="13">
        <f t="shared" si="69"/>
        <v>57.06</v>
      </c>
      <c r="AI306" s="13">
        <f t="shared" si="70"/>
        <v>24.45</v>
      </c>
      <c r="AJ306" s="13">
        <f t="shared" si="71"/>
        <v>16.3</v>
      </c>
      <c r="AK306" s="13">
        <f t="shared" si="72"/>
        <v>0</v>
      </c>
      <c r="AL306" s="13">
        <f t="shared" si="73"/>
        <v>0</v>
      </c>
      <c r="AM306" s="13">
        <f t="shared" si="74"/>
        <v>815.09</v>
      </c>
      <c r="AN306" s="13">
        <f t="shared" si="75"/>
        <v>57.06</v>
      </c>
      <c r="AO306" s="13">
        <f t="shared" si="76"/>
        <v>24.45</v>
      </c>
      <c r="AP306" s="13">
        <f t="shared" si="77"/>
        <v>16.3</v>
      </c>
      <c r="AQ306" s="13" t="str">
        <f t="shared" si="78"/>
        <v>TJ202512231440000043254</v>
      </c>
      <c r="AR306" s="13">
        <f t="shared" si="79"/>
        <v>0.06</v>
      </c>
    </row>
    <row r="307" ht="15" spans="1:44">
      <c r="A307" s="15" t="s">
        <v>533</v>
      </c>
      <c r="B307" s="12" t="s">
        <v>59</v>
      </c>
      <c r="C307" s="12" t="s">
        <v>54</v>
      </c>
      <c r="D307" s="12" t="s">
        <v>60</v>
      </c>
      <c r="E307" s="12" t="s">
        <v>51</v>
      </c>
      <c r="F307" s="5">
        <f>ROUND(SUMIF([1]开票!$A$2:$A$1750,[1]申请!AQ307,[1]开票!$C$2:$C$1750),2)</f>
        <v>6792.45</v>
      </c>
      <c r="G307" s="5">
        <f>ROUND(SUMIF([1]开票!$A$2:$A$1750,[1]申请!AQ307,[1]开票!$D$2:$D$1750),2)</f>
        <v>0</v>
      </c>
      <c r="H307" s="5">
        <f>ROUND(SUMIF([1]开票!$A$2:$A$1750,[1]申请!AQ307,[1]开票!$E$2:$E$1750),2)</f>
        <v>407.55</v>
      </c>
      <c r="I307" s="5">
        <f t="shared" si="64"/>
        <v>7200</v>
      </c>
      <c r="J307" s="20"/>
      <c r="K307" s="32"/>
      <c r="L307" s="12"/>
      <c r="M307" s="12"/>
      <c r="N307" s="12"/>
      <c r="O307" s="12"/>
      <c r="P307" s="12"/>
      <c r="Q307" s="12">
        <v>471.03</v>
      </c>
      <c r="R307" s="12"/>
      <c r="S307" s="20"/>
      <c r="T307" s="32"/>
      <c r="U307" s="20"/>
      <c r="V307" s="12"/>
      <c r="W307" s="12"/>
      <c r="X307" s="12"/>
      <c r="Y307" s="12"/>
      <c r="Z307" s="12">
        <v>6728.97</v>
      </c>
      <c r="AA307" s="12"/>
      <c r="AB307" s="12"/>
      <c r="AC307" s="12"/>
      <c r="AD307" s="12">
        <f t="shared" si="65"/>
        <v>7200</v>
      </c>
      <c r="AE307" s="13">
        <f t="shared" si="66"/>
        <v>0</v>
      </c>
      <c r="AF307" s="14">
        <f t="shared" si="67"/>
        <v>0</v>
      </c>
      <c r="AG307" s="13">
        <f t="shared" si="68"/>
        <v>407.55</v>
      </c>
      <c r="AH307" s="13">
        <f t="shared" si="69"/>
        <v>28.53</v>
      </c>
      <c r="AI307" s="13">
        <f t="shared" si="70"/>
        <v>12.23</v>
      </c>
      <c r="AJ307" s="13">
        <f t="shared" si="71"/>
        <v>8.15</v>
      </c>
      <c r="AK307" s="13">
        <f t="shared" si="72"/>
        <v>0</v>
      </c>
      <c r="AL307" s="13">
        <f t="shared" si="73"/>
        <v>0</v>
      </c>
      <c r="AM307" s="13">
        <f t="shared" si="74"/>
        <v>407.55</v>
      </c>
      <c r="AN307" s="13">
        <f t="shared" si="75"/>
        <v>28.53</v>
      </c>
      <c r="AO307" s="13">
        <f t="shared" si="76"/>
        <v>12.23</v>
      </c>
      <c r="AP307" s="13">
        <f t="shared" si="77"/>
        <v>8.15</v>
      </c>
      <c r="AQ307" s="13" t="str">
        <f t="shared" si="78"/>
        <v>TJ202512231444000243531</v>
      </c>
      <c r="AR307" s="13">
        <f t="shared" si="79"/>
        <v>0.06</v>
      </c>
    </row>
    <row r="308" ht="15" spans="1:44">
      <c r="A308" s="15" t="s">
        <v>534</v>
      </c>
      <c r="B308" s="12" t="s">
        <v>59</v>
      </c>
      <c r="C308" s="12" t="s">
        <v>54</v>
      </c>
      <c r="D308" s="12" t="s">
        <v>60</v>
      </c>
      <c r="E308" s="12" t="s">
        <v>51</v>
      </c>
      <c r="F308" s="5">
        <f>ROUND(SUMIF([1]开票!$A$2:$A$1750,[1]申请!AQ308,[1]开票!$C$2:$C$1750),2)</f>
        <v>7547.17</v>
      </c>
      <c r="G308" s="5">
        <f>ROUND(SUMIF([1]开票!$A$2:$A$1750,[1]申请!AQ308,[1]开票!$D$2:$D$1750),2)</f>
        <v>0</v>
      </c>
      <c r="H308" s="5">
        <f>ROUND(SUMIF([1]开票!$A$2:$A$1750,[1]申请!AQ308,[1]开票!$E$2:$E$1750),2)</f>
        <v>452.83</v>
      </c>
      <c r="I308" s="5">
        <f t="shared" si="64"/>
        <v>8000</v>
      </c>
      <c r="J308" s="12"/>
      <c r="K308" s="32"/>
      <c r="L308" s="12"/>
      <c r="M308" s="12"/>
      <c r="N308" s="12"/>
      <c r="O308" s="12"/>
      <c r="P308" s="12"/>
      <c r="Q308" s="12">
        <v>523.36</v>
      </c>
      <c r="R308" s="12"/>
      <c r="S308" s="20"/>
      <c r="T308" s="32"/>
      <c r="U308" s="20"/>
      <c r="V308" s="20"/>
      <c r="W308" s="12"/>
      <c r="X308" s="12"/>
      <c r="Y308" s="12"/>
      <c r="Z308" s="12">
        <v>7476.64</v>
      </c>
      <c r="AA308" s="12"/>
      <c r="AB308" s="12"/>
      <c r="AC308" s="12"/>
      <c r="AD308" s="12">
        <f t="shared" si="65"/>
        <v>8000</v>
      </c>
      <c r="AE308" s="13">
        <f t="shared" si="66"/>
        <v>0</v>
      </c>
      <c r="AF308" s="14">
        <f t="shared" si="67"/>
        <v>0</v>
      </c>
      <c r="AG308" s="13">
        <f t="shared" si="68"/>
        <v>452.83</v>
      </c>
      <c r="AH308" s="13">
        <f t="shared" si="69"/>
        <v>31.7</v>
      </c>
      <c r="AI308" s="13">
        <f t="shared" si="70"/>
        <v>13.58</v>
      </c>
      <c r="AJ308" s="13">
        <f t="shared" si="71"/>
        <v>9.06</v>
      </c>
      <c r="AK308" s="13">
        <f t="shared" si="72"/>
        <v>0</v>
      </c>
      <c r="AL308" s="13">
        <f t="shared" si="73"/>
        <v>0</v>
      </c>
      <c r="AM308" s="13">
        <f t="shared" si="74"/>
        <v>452.83</v>
      </c>
      <c r="AN308" s="13">
        <f t="shared" si="75"/>
        <v>31.7</v>
      </c>
      <c r="AO308" s="13">
        <f t="shared" si="76"/>
        <v>13.58</v>
      </c>
      <c r="AP308" s="13">
        <f t="shared" si="77"/>
        <v>9.06</v>
      </c>
      <c r="AQ308" s="13" t="str">
        <f t="shared" si="78"/>
        <v>TJ202512231448000032701</v>
      </c>
      <c r="AR308" s="13">
        <f t="shared" si="79"/>
        <v>0.06</v>
      </c>
    </row>
    <row r="309" ht="15" spans="1:44">
      <c r="A309" s="15" t="s">
        <v>535</v>
      </c>
      <c r="B309" s="12" t="s">
        <v>513</v>
      </c>
      <c r="C309" s="12" t="s">
        <v>54</v>
      </c>
      <c r="D309" s="12" t="s">
        <v>55</v>
      </c>
      <c r="E309" s="12" t="s">
        <v>51</v>
      </c>
      <c r="F309" s="5">
        <f>ROUND(SUMIF([1]开票!$A$2:$A$1750,[1]申请!AQ309,[1]开票!$C$2:$C$1750),2)</f>
        <v>179034.89</v>
      </c>
      <c r="G309" s="5">
        <f>ROUND(SUMIF([1]开票!$A$2:$A$1750,[1]申请!AQ309,[1]开票!$D$2:$D$1750),2)</f>
        <v>0</v>
      </c>
      <c r="H309" s="5">
        <f>ROUND(SUMIF([1]开票!$A$2:$A$1750,[1]申请!AQ309,[1]开票!$E$2:$E$1750),2)</f>
        <v>10742.09</v>
      </c>
      <c r="I309" s="5">
        <f t="shared" si="64"/>
        <v>189776.98</v>
      </c>
      <c r="J309" s="12"/>
      <c r="K309" s="32"/>
      <c r="L309" s="12">
        <v>538</v>
      </c>
      <c r="M309" s="12"/>
      <c r="N309" s="12"/>
      <c r="O309" s="12"/>
      <c r="P309" s="12"/>
      <c r="Q309" s="12"/>
      <c r="R309" s="12"/>
      <c r="S309" s="20">
        <v>177163.84</v>
      </c>
      <c r="T309" s="20">
        <v>0</v>
      </c>
      <c r="U309" s="20">
        <v>0</v>
      </c>
      <c r="V309" s="20"/>
      <c r="W309" s="12">
        <v>76</v>
      </c>
      <c r="X309" s="12">
        <v>0</v>
      </c>
      <c r="Y309" s="12">
        <v>11999.14</v>
      </c>
      <c r="Z309" s="12"/>
      <c r="AA309" s="12"/>
      <c r="AB309" s="12"/>
      <c r="AC309" s="12"/>
      <c r="AD309" s="12">
        <f t="shared" si="65"/>
        <v>189776.98</v>
      </c>
      <c r="AE309" s="13">
        <f t="shared" si="66"/>
        <v>0</v>
      </c>
      <c r="AF309" s="14">
        <f t="shared" si="67"/>
        <v>0</v>
      </c>
      <c r="AG309" s="13">
        <f t="shared" si="68"/>
        <v>10742.09</v>
      </c>
      <c r="AH309" s="13">
        <f t="shared" si="69"/>
        <v>751.95</v>
      </c>
      <c r="AI309" s="13">
        <f t="shared" si="70"/>
        <v>322.26</v>
      </c>
      <c r="AJ309" s="13">
        <f t="shared" si="71"/>
        <v>214.84</v>
      </c>
      <c r="AK309" s="13">
        <f t="shared" si="72"/>
        <v>10713.5178571429</v>
      </c>
      <c r="AL309" s="13">
        <f t="shared" si="73"/>
        <v>1285.62</v>
      </c>
      <c r="AM309" s="13">
        <f t="shared" si="74"/>
        <v>28.57</v>
      </c>
      <c r="AN309" s="13">
        <f t="shared" si="75"/>
        <v>2</v>
      </c>
      <c r="AO309" s="13">
        <f t="shared" si="76"/>
        <v>0.86</v>
      </c>
      <c r="AP309" s="13">
        <f t="shared" si="77"/>
        <v>0.57</v>
      </c>
      <c r="AQ309" s="13" t="str">
        <f t="shared" si="78"/>
        <v>TJ202512231522000358937</v>
      </c>
      <c r="AR309" s="13">
        <f t="shared" si="79"/>
        <v>0.06</v>
      </c>
    </row>
    <row r="310" ht="15" spans="1:44">
      <c r="A310" s="15" t="s">
        <v>536</v>
      </c>
      <c r="B310" s="12" t="s">
        <v>293</v>
      </c>
      <c r="C310" s="12" t="s">
        <v>54</v>
      </c>
      <c r="D310" s="12" t="s">
        <v>55</v>
      </c>
      <c r="E310" s="12" t="s">
        <v>51</v>
      </c>
      <c r="F310" s="5">
        <f>ROUND(SUMIF([1]开票!$A$2:$A$1750,[1]申请!AQ310,[1]开票!$C$2:$C$1750),2)</f>
        <v>886687.48</v>
      </c>
      <c r="G310" s="5">
        <f>ROUND(SUMIF([1]开票!$A$2:$A$1750,[1]申请!AQ310,[1]开票!$D$2:$D$1750),2)</f>
        <v>0</v>
      </c>
      <c r="H310" s="5">
        <f>ROUND(SUMIF([1]开票!$A$2:$A$1750,[1]申请!AQ310,[1]开票!$E$2:$E$1750),2)</f>
        <v>53201.25</v>
      </c>
      <c r="I310" s="5">
        <f t="shared" si="64"/>
        <v>939888.73</v>
      </c>
      <c r="J310" s="12"/>
      <c r="K310" s="32"/>
      <c r="L310" s="12">
        <v>939888.73</v>
      </c>
      <c r="M310" s="12"/>
      <c r="N310" s="12"/>
      <c r="O310" s="12"/>
      <c r="P310" s="12"/>
      <c r="Q310" s="12"/>
      <c r="R310" s="12"/>
      <c r="S310" s="20"/>
      <c r="T310" s="20"/>
      <c r="U310" s="20"/>
      <c r="V310" s="12"/>
      <c r="W310" s="12"/>
      <c r="X310" s="12"/>
      <c r="Y310" s="12"/>
      <c r="Z310" s="12"/>
      <c r="AA310" s="12"/>
      <c r="AB310" s="12"/>
      <c r="AC310" s="12"/>
      <c r="AD310" s="12">
        <f t="shared" si="65"/>
        <v>939888.73</v>
      </c>
      <c r="AE310" s="13">
        <f t="shared" si="66"/>
        <v>0</v>
      </c>
      <c r="AF310" s="14">
        <f t="shared" si="67"/>
        <v>0</v>
      </c>
      <c r="AG310" s="13">
        <f t="shared" si="68"/>
        <v>53201.25</v>
      </c>
      <c r="AH310" s="13">
        <f t="shared" si="69"/>
        <v>3724.09</v>
      </c>
      <c r="AI310" s="13">
        <f t="shared" si="70"/>
        <v>1596.04</v>
      </c>
      <c r="AJ310" s="13">
        <f t="shared" si="71"/>
        <v>1064.03</v>
      </c>
      <c r="AK310" s="13">
        <f t="shared" si="72"/>
        <v>0</v>
      </c>
      <c r="AL310" s="13">
        <f t="shared" si="73"/>
        <v>0</v>
      </c>
      <c r="AM310" s="13">
        <f t="shared" si="74"/>
        <v>53201.25</v>
      </c>
      <c r="AN310" s="13">
        <f t="shared" si="75"/>
        <v>3724.09</v>
      </c>
      <c r="AO310" s="13">
        <f t="shared" si="76"/>
        <v>1596.04</v>
      </c>
      <c r="AP310" s="13">
        <f t="shared" si="77"/>
        <v>1064.03</v>
      </c>
      <c r="AQ310" s="13" t="str">
        <f t="shared" si="78"/>
        <v>TJ202512231600000421095</v>
      </c>
      <c r="AR310" s="13">
        <f t="shared" si="79"/>
        <v>0.06</v>
      </c>
    </row>
    <row r="311" ht="15" spans="1:44">
      <c r="A311" s="15" t="s">
        <v>537</v>
      </c>
      <c r="B311" s="12" t="s">
        <v>253</v>
      </c>
      <c r="C311" s="12" t="s">
        <v>46</v>
      </c>
      <c r="D311" s="12" t="s">
        <v>47</v>
      </c>
      <c r="E311" s="12" t="s">
        <v>48</v>
      </c>
      <c r="F311" s="5">
        <f>ROUND(SUMIF([1]开票!$A$2:$A$1750,[1]申请!AQ311,[1]开票!$C$2:$C$1750),2)</f>
        <v>0</v>
      </c>
      <c r="G311" s="5">
        <f>ROUND(SUMIF([1]开票!$A$2:$A$1750,[1]申请!AQ311,[1]开票!$D$2:$D$1750),2)</f>
        <v>238924</v>
      </c>
      <c r="H311" s="5">
        <f>ROUND(SUMIF([1]开票!$A$2:$A$1750,[1]申请!AQ311,[1]开票!$E$2:$E$1750),2)</f>
        <v>0</v>
      </c>
      <c r="I311" s="5">
        <f t="shared" si="64"/>
        <v>238924</v>
      </c>
      <c r="J311" s="12"/>
      <c r="K311" s="32"/>
      <c r="L311" s="12"/>
      <c r="M311" s="12"/>
      <c r="N311" s="12"/>
      <c r="O311" s="12"/>
      <c r="P311" s="12"/>
      <c r="Q311" s="12"/>
      <c r="R311" s="12"/>
      <c r="S311" s="20">
        <v>238924</v>
      </c>
      <c r="T311" s="20"/>
      <c r="U311" s="12"/>
      <c r="V311" s="12"/>
      <c r="W311" s="12"/>
      <c r="X311" s="12"/>
      <c r="Y311" s="12"/>
      <c r="Z311" s="12"/>
      <c r="AA311" s="12"/>
      <c r="AB311" s="12"/>
      <c r="AC311" s="12"/>
      <c r="AD311" s="12">
        <f t="shared" si="65"/>
        <v>238924</v>
      </c>
      <c r="AE311" s="13">
        <f t="shared" si="66"/>
        <v>0</v>
      </c>
      <c r="AF311" s="14">
        <f t="shared" si="67"/>
        <v>0</v>
      </c>
      <c r="AG311" s="13">
        <f t="shared" si="68"/>
        <v>0</v>
      </c>
      <c r="AH311" s="13">
        <f t="shared" si="69"/>
        <v>0</v>
      </c>
      <c r="AI311" s="13">
        <f t="shared" si="70"/>
        <v>0</v>
      </c>
      <c r="AJ311" s="13">
        <f t="shared" si="71"/>
        <v>0</v>
      </c>
      <c r="AK311" s="13">
        <f t="shared" si="72"/>
        <v>0</v>
      </c>
      <c r="AL311" s="13">
        <f t="shared" si="73"/>
        <v>0</v>
      </c>
      <c r="AM311" s="13">
        <f t="shared" si="74"/>
        <v>0</v>
      </c>
      <c r="AN311" s="13">
        <f t="shared" si="75"/>
        <v>0</v>
      </c>
      <c r="AO311" s="13">
        <f t="shared" si="76"/>
        <v>0</v>
      </c>
      <c r="AP311" s="13">
        <f t="shared" si="77"/>
        <v>0</v>
      </c>
      <c r="AQ311" s="13" t="str">
        <f t="shared" si="78"/>
        <v>TJ202512232257000063543</v>
      </c>
      <c r="AR311" s="13">
        <f t="shared" si="79"/>
        <v>0.05</v>
      </c>
    </row>
    <row r="312" ht="15" spans="1:44">
      <c r="A312" s="15" t="s">
        <v>538</v>
      </c>
      <c r="B312" s="12" t="s">
        <v>179</v>
      </c>
      <c r="C312" s="12" t="s">
        <v>54</v>
      </c>
      <c r="D312" s="12" t="s">
        <v>47</v>
      </c>
      <c r="E312" s="12" t="s">
        <v>51</v>
      </c>
      <c r="F312" s="5">
        <f>ROUND(SUMIF([1]开票!$A$2:$A$1750,[1]申请!AQ312,[1]开票!$C$2:$C$1750),2)</f>
        <v>20318.26</v>
      </c>
      <c r="G312" s="5">
        <f>ROUND(SUMIF([1]开票!$A$2:$A$1750,[1]申请!AQ312,[1]开票!$D$2:$D$1750),2)</f>
        <v>0</v>
      </c>
      <c r="H312" s="5">
        <f>ROUND(SUMIF([1]开票!$A$2:$A$1750,[1]申请!AQ312,[1]开票!$E$2:$E$1750),2)</f>
        <v>1219.1</v>
      </c>
      <c r="I312" s="5">
        <f t="shared" si="64"/>
        <v>21537.36</v>
      </c>
      <c r="J312" s="12">
        <v>1257.36</v>
      </c>
      <c r="K312" s="32"/>
      <c r="L312" s="15"/>
      <c r="M312" s="12"/>
      <c r="N312" s="12"/>
      <c r="O312" s="12"/>
      <c r="P312" s="12"/>
      <c r="Q312" s="12"/>
      <c r="R312" s="12"/>
      <c r="S312" s="12">
        <v>20280</v>
      </c>
      <c r="T312" s="20"/>
      <c r="U312" s="20"/>
      <c r="V312" s="12"/>
      <c r="W312" s="12"/>
      <c r="X312" s="12"/>
      <c r="Y312" s="12"/>
      <c r="Z312" s="12"/>
      <c r="AA312" s="12"/>
      <c r="AB312" s="12"/>
      <c r="AC312" s="12"/>
      <c r="AD312" s="12">
        <f t="shared" si="65"/>
        <v>21537.36</v>
      </c>
      <c r="AE312" s="13">
        <f t="shared" si="66"/>
        <v>0</v>
      </c>
      <c r="AF312" s="14">
        <f t="shared" si="67"/>
        <v>0</v>
      </c>
      <c r="AG312" s="13">
        <f t="shared" si="68"/>
        <v>1219.1</v>
      </c>
      <c r="AH312" s="13">
        <f t="shared" si="69"/>
        <v>85.34</v>
      </c>
      <c r="AI312" s="13">
        <f t="shared" si="70"/>
        <v>36.57</v>
      </c>
      <c r="AJ312" s="13">
        <f t="shared" si="71"/>
        <v>24.38</v>
      </c>
      <c r="AK312" s="13">
        <f t="shared" si="72"/>
        <v>0</v>
      </c>
      <c r="AL312" s="13">
        <f t="shared" si="73"/>
        <v>0</v>
      </c>
      <c r="AM312" s="13">
        <f t="shared" si="74"/>
        <v>1219.1</v>
      </c>
      <c r="AN312" s="13">
        <f t="shared" si="75"/>
        <v>85.34</v>
      </c>
      <c r="AO312" s="13">
        <f t="shared" si="76"/>
        <v>36.57</v>
      </c>
      <c r="AP312" s="13">
        <f t="shared" si="77"/>
        <v>24.38</v>
      </c>
      <c r="AQ312" s="13" t="str">
        <f t="shared" si="78"/>
        <v>TJ202512240029000198399</v>
      </c>
      <c r="AR312" s="13">
        <f t="shared" si="79"/>
        <v>0.06</v>
      </c>
    </row>
    <row r="313" ht="15" spans="1:44">
      <c r="A313" s="15" t="s">
        <v>539</v>
      </c>
      <c r="B313" s="12" t="s">
        <v>179</v>
      </c>
      <c r="C313" s="12" t="s">
        <v>54</v>
      </c>
      <c r="D313" s="12" t="s">
        <v>47</v>
      </c>
      <c r="E313" s="12" t="s">
        <v>51</v>
      </c>
      <c r="F313" s="5">
        <f>ROUND(SUMIF([1]开票!$A$2:$A$1750,[1]申请!AQ313,[1]开票!$C$2:$C$1750),2)</f>
        <v>78449.75</v>
      </c>
      <c r="G313" s="5">
        <f>ROUND(SUMIF([1]开票!$A$2:$A$1750,[1]申请!AQ313,[1]开票!$D$2:$D$1750),2)</f>
        <v>0</v>
      </c>
      <c r="H313" s="5">
        <f>ROUND(SUMIF([1]开票!$A$2:$A$1750,[1]申请!AQ313,[1]开票!$E$2:$E$1750),2)</f>
        <v>4706.97</v>
      </c>
      <c r="I313" s="5">
        <f t="shared" si="64"/>
        <v>83156.72</v>
      </c>
      <c r="J313" s="12">
        <v>4854.72</v>
      </c>
      <c r="K313" s="32"/>
      <c r="L313" s="15"/>
      <c r="M313" s="12"/>
      <c r="N313" s="12"/>
      <c r="O313" s="12"/>
      <c r="P313" s="12"/>
      <c r="Q313" s="12"/>
      <c r="R313" s="12"/>
      <c r="S313" s="12">
        <v>78302</v>
      </c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>
        <f t="shared" si="65"/>
        <v>83156.72</v>
      </c>
      <c r="AE313" s="13">
        <f t="shared" si="66"/>
        <v>0</v>
      </c>
      <c r="AF313" s="14">
        <f t="shared" si="67"/>
        <v>0</v>
      </c>
      <c r="AG313" s="13">
        <f t="shared" si="68"/>
        <v>4706.97</v>
      </c>
      <c r="AH313" s="13">
        <f t="shared" si="69"/>
        <v>329.49</v>
      </c>
      <c r="AI313" s="13">
        <f t="shared" si="70"/>
        <v>141.21</v>
      </c>
      <c r="AJ313" s="13">
        <f t="shared" si="71"/>
        <v>94.14</v>
      </c>
      <c r="AK313" s="13">
        <f t="shared" si="72"/>
        <v>0</v>
      </c>
      <c r="AL313" s="13">
        <f t="shared" si="73"/>
        <v>0</v>
      </c>
      <c r="AM313" s="13">
        <f t="shared" si="74"/>
        <v>4706.97</v>
      </c>
      <c r="AN313" s="13">
        <f t="shared" si="75"/>
        <v>329.49</v>
      </c>
      <c r="AO313" s="13">
        <f t="shared" si="76"/>
        <v>141.21</v>
      </c>
      <c r="AP313" s="13">
        <f t="shared" si="77"/>
        <v>94.14</v>
      </c>
      <c r="AQ313" s="13" t="str">
        <f t="shared" si="78"/>
        <v>TJ202512240054000379016</v>
      </c>
      <c r="AR313" s="13">
        <f t="shared" si="79"/>
        <v>0.06</v>
      </c>
    </row>
    <row r="314" ht="15" spans="1:44">
      <c r="A314" s="15" t="s">
        <v>540</v>
      </c>
      <c r="B314" s="12" t="s">
        <v>531</v>
      </c>
      <c r="C314" s="12" t="s">
        <v>54</v>
      </c>
      <c r="D314" s="12" t="s">
        <v>55</v>
      </c>
      <c r="E314" s="12" t="s">
        <v>51</v>
      </c>
      <c r="F314" s="5">
        <f>ROUND(SUMIF([1]开票!$A$2:$A$1750,[1]申请!AQ314,[1]开票!$C$2:$C$1750),2)</f>
        <v>3295877.38</v>
      </c>
      <c r="G314" s="5">
        <f>ROUND(SUMIF([1]开票!$A$2:$A$1750,[1]申请!AQ314,[1]开票!$D$2:$D$1750),2)</f>
        <v>0</v>
      </c>
      <c r="H314" s="5">
        <f>ROUND(SUMIF([1]开票!$A$2:$A$1750,[1]申请!AQ314,[1]开票!$E$2:$E$1750),2)</f>
        <v>197752.64</v>
      </c>
      <c r="I314" s="5">
        <f t="shared" si="64"/>
        <v>3493630.02</v>
      </c>
      <c r="J314" s="12"/>
      <c r="K314" s="32"/>
      <c r="L314" s="15">
        <v>3493630.02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>
        <f t="shared" si="65"/>
        <v>3493630.02</v>
      </c>
      <c r="AE314" s="13">
        <f t="shared" si="66"/>
        <v>0</v>
      </c>
      <c r="AF314" s="14">
        <f t="shared" si="67"/>
        <v>0</v>
      </c>
      <c r="AG314" s="13">
        <f t="shared" si="68"/>
        <v>197752.64</v>
      </c>
      <c r="AH314" s="13">
        <f t="shared" si="69"/>
        <v>13842.68</v>
      </c>
      <c r="AI314" s="13">
        <f t="shared" si="70"/>
        <v>5932.58</v>
      </c>
      <c r="AJ314" s="13">
        <f t="shared" si="71"/>
        <v>3955.05</v>
      </c>
      <c r="AK314" s="13">
        <f t="shared" si="72"/>
        <v>0</v>
      </c>
      <c r="AL314" s="13">
        <f t="shared" si="73"/>
        <v>0</v>
      </c>
      <c r="AM314" s="13">
        <f t="shared" si="74"/>
        <v>197752.64</v>
      </c>
      <c r="AN314" s="13">
        <f t="shared" si="75"/>
        <v>13842.68</v>
      </c>
      <c r="AO314" s="13">
        <f t="shared" si="76"/>
        <v>5932.58</v>
      </c>
      <c r="AP314" s="13">
        <f t="shared" si="77"/>
        <v>3955.05</v>
      </c>
      <c r="AQ314" s="13" t="str">
        <f t="shared" si="78"/>
        <v>TJ202512241007000248869</v>
      </c>
      <c r="AR314" s="13">
        <f t="shared" si="79"/>
        <v>0.06</v>
      </c>
    </row>
    <row r="315" ht="15" spans="1:44">
      <c r="A315" s="15" t="s">
        <v>541</v>
      </c>
      <c r="B315" s="12" t="s">
        <v>253</v>
      </c>
      <c r="C315" s="12" t="s">
        <v>46</v>
      </c>
      <c r="D315" s="12" t="s">
        <v>47</v>
      </c>
      <c r="E315" s="12" t="s">
        <v>48</v>
      </c>
      <c r="F315" s="5">
        <f>ROUND(SUMIF([1]开票!$A$2:$A$1750,[1]申请!AQ315,[1]开票!$C$2:$C$1750),2)</f>
        <v>0</v>
      </c>
      <c r="G315" s="5">
        <f>ROUND(SUMIF([1]开票!$A$2:$A$1750,[1]申请!AQ315,[1]开票!$D$2:$D$1750),2)</f>
        <v>506955</v>
      </c>
      <c r="H315" s="5">
        <f>ROUND(SUMIF([1]开票!$A$2:$A$1750,[1]申请!AQ315,[1]开票!$E$2:$E$1750),2)</f>
        <v>0</v>
      </c>
      <c r="I315" s="5">
        <f t="shared" si="64"/>
        <v>506955</v>
      </c>
      <c r="J315" s="12"/>
      <c r="K315" s="32"/>
      <c r="L315" s="12"/>
      <c r="M315" s="12"/>
      <c r="N315" s="12"/>
      <c r="O315" s="12"/>
      <c r="P315" s="12"/>
      <c r="Q315" s="12"/>
      <c r="R315" s="12"/>
      <c r="S315" s="20">
        <v>506955</v>
      </c>
      <c r="T315" s="20"/>
      <c r="U315" s="20"/>
      <c r="V315" s="20"/>
      <c r="W315" s="12"/>
      <c r="X315" s="12"/>
      <c r="Y315" s="12"/>
      <c r="Z315" s="12"/>
      <c r="AA315" s="12"/>
      <c r="AB315" s="12"/>
      <c r="AC315" s="12"/>
      <c r="AD315" s="12">
        <f t="shared" si="65"/>
        <v>506955</v>
      </c>
      <c r="AE315" s="13">
        <f t="shared" si="66"/>
        <v>0</v>
      </c>
      <c r="AF315" s="14">
        <f t="shared" si="67"/>
        <v>0</v>
      </c>
      <c r="AG315" s="13">
        <f t="shared" si="68"/>
        <v>0</v>
      </c>
      <c r="AH315" s="13">
        <f t="shared" si="69"/>
        <v>0</v>
      </c>
      <c r="AI315" s="13">
        <f t="shared" si="70"/>
        <v>0</v>
      </c>
      <c r="AJ315" s="13">
        <f t="shared" si="71"/>
        <v>0</v>
      </c>
      <c r="AK315" s="13">
        <f t="shared" si="72"/>
        <v>0</v>
      </c>
      <c r="AL315" s="13">
        <f t="shared" si="73"/>
        <v>0</v>
      </c>
      <c r="AM315" s="13">
        <f t="shared" si="74"/>
        <v>0</v>
      </c>
      <c r="AN315" s="13">
        <f t="shared" si="75"/>
        <v>0</v>
      </c>
      <c r="AO315" s="13">
        <f t="shared" si="76"/>
        <v>0</v>
      </c>
      <c r="AP315" s="13">
        <f t="shared" si="77"/>
        <v>0</v>
      </c>
      <c r="AQ315" s="13" t="str">
        <f t="shared" si="78"/>
        <v>TJ202512241012000004027</v>
      </c>
      <c r="AR315" s="13">
        <f t="shared" si="79"/>
        <v>0.05</v>
      </c>
    </row>
    <row r="316" ht="15" spans="1:44">
      <c r="A316" s="15" t="s">
        <v>542</v>
      </c>
      <c r="B316" s="12" t="s">
        <v>425</v>
      </c>
      <c r="C316" s="12" t="s">
        <v>54</v>
      </c>
      <c r="D316" s="12" t="s">
        <v>47</v>
      </c>
      <c r="E316" s="12" t="s">
        <v>51</v>
      </c>
      <c r="F316" s="5">
        <f>ROUND(SUMIF([1]开票!$A$2:$A$1750,[1]申请!AQ316,[1]开票!$C$2:$C$1750),2)</f>
        <v>243563.23</v>
      </c>
      <c r="G316" s="5">
        <f>ROUND(SUMIF([1]开票!$A$2:$A$1750,[1]申请!AQ316,[1]开票!$D$2:$D$1750),2)</f>
        <v>0</v>
      </c>
      <c r="H316" s="5">
        <f>ROUND(SUMIF([1]开票!$A$2:$A$1750,[1]申请!AQ316,[1]开票!$E$2:$E$1750),2)</f>
        <v>14613.8</v>
      </c>
      <c r="I316" s="5">
        <f t="shared" si="64"/>
        <v>258177.03</v>
      </c>
      <c r="J316" s="12"/>
      <c r="K316" s="32"/>
      <c r="L316" s="12">
        <v>0</v>
      </c>
      <c r="M316" s="12"/>
      <c r="N316" s="12"/>
      <c r="O316" s="12"/>
      <c r="P316" s="12"/>
      <c r="Q316" s="12"/>
      <c r="R316" s="12"/>
      <c r="S316" s="20">
        <v>223448.4</v>
      </c>
      <c r="T316" s="20">
        <v>18471.6</v>
      </c>
      <c r="U316" s="20">
        <v>0</v>
      </c>
      <c r="V316" s="12">
        <v>0</v>
      </c>
      <c r="W316" s="12"/>
      <c r="X316" s="12"/>
      <c r="Y316" s="12">
        <v>16257.03</v>
      </c>
      <c r="Z316" s="12"/>
      <c r="AA316" s="12"/>
      <c r="AB316" s="12"/>
      <c r="AC316" s="12"/>
      <c r="AD316" s="12">
        <f t="shared" si="65"/>
        <v>258177.03</v>
      </c>
      <c r="AE316" s="13">
        <f t="shared" si="66"/>
        <v>0</v>
      </c>
      <c r="AF316" s="14">
        <f t="shared" si="67"/>
        <v>0</v>
      </c>
      <c r="AG316" s="13">
        <f t="shared" si="68"/>
        <v>14613.8</v>
      </c>
      <c r="AH316" s="13">
        <f t="shared" si="69"/>
        <v>1022.97</v>
      </c>
      <c r="AI316" s="13">
        <f t="shared" si="70"/>
        <v>438.41</v>
      </c>
      <c r="AJ316" s="13">
        <f t="shared" si="71"/>
        <v>292.28</v>
      </c>
      <c r="AK316" s="13">
        <f t="shared" si="72"/>
        <v>14515.2053571429</v>
      </c>
      <c r="AL316" s="13">
        <f t="shared" si="73"/>
        <v>1741.82</v>
      </c>
      <c r="AM316" s="13">
        <f t="shared" si="74"/>
        <v>98.59</v>
      </c>
      <c r="AN316" s="13">
        <f t="shared" si="75"/>
        <v>6.9</v>
      </c>
      <c r="AO316" s="13">
        <f t="shared" si="76"/>
        <v>2.96</v>
      </c>
      <c r="AP316" s="13">
        <f t="shared" si="77"/>
        <v>1.98</v>
      </c>
      <c r="AQ316" s="13" t="str">
        <f t="shared" si="78"/>
        <v>TJ202512241033000500473</v>
      </c>
      <c r="AR316" s="13">
        <f t="shared" si="79"/>
        <v>0.06</v>
      </c>
    </row>
    <row r="317" ht="15" spans="1:44">
      <c r="A317" s="15" t="s">
        <v>543</v>
      </c>
      <c r="B317" s="12" t="s">
        <v>425</v>
      </c>
      <c r="C317" s="12" t="s">
        <v>54</v>
      </c>
      <c r="D317" s="12" t="s">
        <v>47</v>
      </c>
      <c r="E317" s="12" t="s">
        <v>109</v>
      </c>
      <c r="F317" s="5">
        <f>ROUND(SUMIF([1]开票!$A$2:$A$1750,[1]申请!AQ317,[1]开票!$C$2:$C$1750),2)</f>
        <v>243150.44</v>
      </c>
      <c r="G317" s="5">
        <f>ROUND(SUMIF([1]开票!$A$2:$A$1750,[1]申请!AQ317,[1]开票!$D$2:$D$1750),2)</f>
        <v>0</v>
      </c>
      <c r="H317" s="5">
        <f>ROUND(SUMIF([1]开票!$A$2:$A$1750,[1]申请!AQ317,[1]开票!$E$2:$E$1750),2)</f>
        <v>14589.03</v>
      </c>
      <c r="I317" s="5">
        <f t="shared" si="64"/>
        <v>257739.47</v>
      </c>
      <c r="J317" s="12"/>
      <c r="K317" s="32"/>
      <c r="L317" s="12">
        <v>0</v>
      </c>
      <c r="M317" s="12"/>
      <c r="N317" s="12"/>
      <c r="O317" s="12"/>
      <c r="P317" s="12"/>
      <c r="Q317" s="12"/>
      <c r="R317" s="12"/>
      <c r="S317" s="32">
        <v>227464.76</v>
      </c>
      <c r="T317" s="20">
        <v>14045.24</v>
      </c>
      <c r="U317" s="20">
        <v>0</v>
      </c>
      <c r="V317" s="12">
        <v>0</v>
      </c>
      <c r="W317" s="12"/>
      <c r="X317" s="12"/>
      <c r="Y317" s="20">
        <v>16229.47</v>
      </c>
      <c r="Z317" s="12"/>
      <c r="AA317" s="12"/>
      <c r="AB317" s="12"/>
      <c r="AC317" s="12"/>
      <c r="AD317" s="12">
        <f t="shared" si="65"/>
        <v>257739.47</v>
      </c>
      <c r="AE317" s="13">
        <f t="shared" si="66"/>
        <v>0</v>
      </c>
      <c r="AF317" s="14">
        <f t="shared" si="67"/>
        <v>0</v>
      </c>
      <c r="AG317" s="13">
        <f t="shared" si="68"/>
        <v>14589.03</v>
      </c>
      <c r="AH317" s="13">
        <f t="shared" si="69"/>
        <v>1021.23</v>
      </c>
      <c r="AI317" s="13">
        <f t="shared" si="70"/>
        <v>437.67</v>
      </c>
      <c r="AJ317" s="13">
        <f t="shared" si="71"/>
        <v>291.78</v>
      </c>
      <c r="AK317" s="13">
        <f t="shared" si="72"/>
        <v>14490.5982142857</v>
      </c>
      <c r="AL317" s="13">
        <f t="shared" si="73"/>
        <v>1738.87</v>
      </c>
      <c r="AM317" s="13">
        <f t="shared" si="74"/>
        <v>98.43</v>
      </c>
      <c r="AN317" s="13">
        <f t="shared" si="75"/>
        <v>6.89</v>
      </c>
      <c r="AO317" s="13">
        <f t="shared" si="76"/>
        <v>2.95</v>
      </c>
      <c r="AP317" s="13">
        <f t="shared" si="77"/>
        <v>1.97</v>
      </c>
      <c r="AQ317" s="13" t="str">
        <f t="shared" si="78"/>
        <v>TJ202512241040000492325</v>
      </c>
      <c r="AR317" s="13">
        <f t="shared" si="79"/>
        <v>0.06</v>
      </c>
    </row>
    <row r="318" ht="15" spans="1:44">
      <c r="A318" s="15" t="s">
        <v>544</v>
      </c>
      <c r="B318" s="12" t="s">
        <v>545</v>
      </c>
      <c r="C318" s="12" t="s">
        <v>46</v>
      </c>
      <c r="D318" s="12" t="s">
        <v>47</v>
      </c>
      <c r="E318" s="12" t="s">
        <v>48</v>
      </c>
      <c r="F318" s="5">
        <f>ROUND(SUMIF([1]开票!$A$2:$A$1750,[1]申请!AQ318,[1]开票!$C$2:$C$1750),2)</f>
        <v>428.57</v>
      </c>
      <c r="G318" s="5">
        <f>ROUND(SUMIF([1]开票!$A$2:$A$1750,[1]申请!AQ318,[1]开票!$D$2:$D$1750),2)</f>
        <v>58677.33</v>
      </c>
      <c r="H318" s="5">
        <f>ROUND(SUMIF([1]开票!$A$2:$A$1750,[1]申请!AQ318,[1]开票!$E$2:$E$1750),2)</f>
        <v>21.43</v>
      </c>
      <c r="I318" s="5">
        <f t="shared" si="64"/>
        <v>59127.33</v>
      </c>
      <c r="J318" s="12">
        <v>450</v>
      </c>
      <c r="K318" s="32"/>
      <c r="L318" s="12"/>
      <c r="M318" s="12"/>
      <c r="N318" s="12"/>
      <c r="O318" s="12"/>
      <c r="P318" s="12"/>
      <c r="Q318" s="12"/>
      <c r="R318" s="12"/>
      <c r="S318" s="20">
        <v>45905.17</v>
      </c>
      <c r="T318" s="20">
        <v>72.72</v>
      </c>
      <c r="U318" s="12">
        <v>10855.88</v>
      </c>
      <c r="V318" s="12">
        <v>1440</v>
      </c>
      <c r="W318" s="12"/>
      <c r="X318" s="12">
        <v>403.56</v>
      </c>
      <c r="Y318" s="20"/>
      <c r="Z318" s="12"/>
      <c r="AA318" s="12"/>
      <c r="AB318" s="12"/>
      <c r="AC318" s="12"/>
      <c r="AD318" s="12">
        <f t="shared" si="65"/>
        <v>59127.33</v>
      </c>
      <c r="AE318" s="13">
        <f t="shared" si="66"/>
        <v>0</v>
      </c>
      <c r="AF318" s="14">
        <f t="shared" si="67"/>
        <v>0</v>
      </c>
      <c r="AG318" s="13">
        <f t="shared" si="68"/>
        <v>21.43</v>
      </c>
      <c r="AH318" s="13">
        <f t="shared" si="69"/>
        <v>1.5</v>
      </c>
      <c r="AI318" s="13">
        <f t="shared" si="70"/>
        <v>0.64</v>
      </c>
      <c r="AJ318" s="13">
        <f t="shared" si="71"/>
        <v>0.43</v>
      </c>
      <c r="AK318" s="13">
        <f t="shared" si="72"/>
        <v>0</v>
      </c>
      <c r="AL318" s="13">
        <f t="shared" si="73"/>
        <v>0</v>
      </c>
      <c r="AM318" s="13">
        <f t="shared" si="74"/>
        <v>21.43</v>
      </c>
      <c r="AN318" s="13">
        <f t="shared" si="75"/>
        <v>1.5</v>
      </c>
      <c r="AO318" s="13">
        <f t="shared" si="76"/>
        <v>0.64</v>
      </c>
      <c r="AP318" s="13">
        <f t="shared" si="77"/>
        <v>0.43</v>
      </c>
      <c r="AQ318" s="13" t="str">
        <f t="shared" si="78"/>
        <v>TJ202512241609000541188</v>
      </c>
      <c r="AR318" s="13">
        <f t="shared" si="79"/>
        <v>0.05</v>
      </c>
    </row>
    <row r="319" ht="15" spans="1:44">
      <c r="A319" s="15" t="s">
        <v>546</v>
      </c>
      <c r="B319" s="12" t="s">
        <v>547</v>
      </c>
      <c r="C319" s="12" t="s">
        <v>54</v>
      </c>
      <c r="D319" s="12" t="s">
        <v>55</v>
      </c>
      <c r="E319" s="12" t="s">
        <v>51</v>
      </c>
      <c r="F319" s="5">
        <f>ROUND(SUMIF([1]开票!$A$2:$A$1750,[1]申请!AQ319,[1]开票!$C$2:$C$1750),2)</f>
        <v>71991.65</v>
      </c>
      <c r="G319" s="5">
        <f>ROUND(SUMIF([1]开票!$A$2:$A$1750,[1]申请!AQ319,[1]开票!$D$2:$D$1750),2)</f>
        <v>0</v>
      </c>
      <c r="H319" s="5">
        <f>ROUND(SUMIF([1]开票!$A$2:$A$1750,[1]申请!AQ319,[1]开票!$E$2:$E$1750),2)</f>
        <v>4319.5</v>
      </c>
      <c r="I319" s="5">
        <f t="shared" si="64"/>
        <v>76311.15</v>
      </c>
      <c r="J319" s="15"/>
      <c r="K319" s="32"/>
      <c r="L319" s="12">
        <v>76311.15</v>
      </c>
      <c r="M319" s="12"/>
      <c r="N319" s="12"/>
      <c r="O319" s="12"/>
      <c r="P319" s="12"/>
      <c r="Q319" s="12"/>
      <c r="R319" s="12"/>
      <c r="S319" s="20"/>
      <c r="T319" s="32"/>
      <c r="U319" s="20"/>
      <c r="V319" s="32"/>
      <c r="W319" s="12"/>
      <c r="X319" s="12"/>
      <c r="Y319" s="15"/>
      <c r="Z319" s="12"/>
      <c r="AA319" s="15"/>
      <c r="AB319" s="15"/>
      <c r="AC319" s="12"/>
      <c r="AD319" s="12">
        <f t="shared" si="65"/>
        <v>76311.15</v>
      </c>
      <c r="AE319" s="13">
        <f t="shared" si="66"/>
        <v>0</v>
      </c>
      <c r="AF319" s="14">
        <f t="shared" si="67"/>
        <v>0</v>
      </c>
      <c r="AG319" s="13">
        <f t="shared" si="68"/>
        <v>4319.5</v>
      </c>
      <c r="AH319" s="13">
        <f t="shared" si="69"/>
        <v>302.37</v>
      </c>
      <c r="AI319" s="13">
        <f t="shared" si="70"/>
        <v>129.59</v>
      </c>
      <c r="AJ319" s="13">
        <f t="shared" si="71"/>
        <v>86.39</v>
      </c>
      <c r="AK319" s="13">
        <f t="shared" si="72"/>
        <v>0</v>
      </c>
      <c r="AL319" s="13">
        <f t="shared" si="73"/>
        <v>0</v>
      </c>
      <c r="AM319" s="13">
        <f t="shared" si="74"/>
        <v>4319.5</v>
      </c>
      <c r="AN319" s="13">
        <f t="shared" si="75"/>
        <v>302.37</v>
      </c>
      <c r="AO319" s="13">
        <f t="shared" si="76"/>
        <v>129.59</v>
      </c>
      <c r="AP319" s="13">
        <f t="shared" si="77"/>
        <v>86.39</v>
      </c>
      <c r="AQ319" s="13" t="str">
        <f t="shared" si="78"/>
        <v>TJ202512241611000553628</v>
      </c>
      <c r="AR319" s="13">
        <f t="shared" si="79"/>
        <v>0.06</v>
      </c>
    </row>
    <row r="320" ht="15" spans="1:44">
      <c r="A320" s="15" t="s">
        <v>548</v>
      </c>
      <c r="B320" s="12" t="s">
        <v>223</v>
      </c>
      <c r="C320" s="12" t="s">
        <v>54</v>
      </c>
      <c r="D320" s="12" t="s">
        <v>47</v>
      </c>
      <c r="E320" s="12" t="s">
        <v>51</v>
      </c>
      <c r="F320" s="5">
        <f>ROUND(SUMIF([1]开票!$A$2:$A$1750,[1]申请!AQ320,[1]开票!$C$2:$C$1750),2)</f>
        <v>4730881.58</v>
      </c>
      <c r="G320" s="5">
        <f>ROUND(SUMIF([1]开票!$A$2:$A$1750,[1]申请!AQ320,[1]开票!$D$2:$D$1750),2)</f>
        <v>0</v>
      </c>
      <c r="H320" s="5">
        <f>ROUND(SUMIF([1]开票!$A$2:$A$1750,[1]申请!AQ320,[1]开票!$E$2:$E$1750),2)</f>
        <v>283852.9</v>
      </c>
      <c r="I320" s="5">
        <f t="shared" si="64"/>
        <v>5014734.48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20"/>
      <c r="T320" s="20"/>
      <c r="U320" s="15">
        <v>4084038.87</v>
      </c>
      <c r="V320" s="15">
        <v>563103</v>
      </c>
      <c r="W320" s="12"/>
      <c r="X320" s="15">
        <v>51831.5</v>
      </c>
      <c r="Y320" s="15">
        <v>315761.11</v>
      </c>
      <c r="Z320" s="12"/>
      <c r="AA320" s="12"/>
      <c r="AB320" s="12"/>
      <c r="AC320" s="12"/>
      <c r="AD320" s="12">
        <f t="shared" si="65"/>
        <v>5014734.48</v>
      </c>
      <c r="AE320" s="13">
        <f t="shared" si="66"/>
        <v>0</v>
      </c>
      <c r="AF320" s="14">
        <f t="shared" si="67"/>
        <v>0</v>
      </c>
      <c r="AG320" s="13">
        <f t="shared" si="68"/>
        <v>283852.9</v>
      </c>
      <c r="AH320" s="13">
        <f t="shared" si="69"/>
        <v>19869.7</v>
      </c>
      <c r="AI320" s="13">
        <f t="shared" si="70"/>
        <v>8515.59</v>
      </c>
      <c r="AJ320" s="13">
        <f t="shared" si="71"/>
        <v>5677.06</v>
      </c>
      <c r="AK320" s="13">
        <f t="shared" si="72"/>
        <v>281929.5625</v>
      </c>
      <c r="AL320" s="13">
        <f t="shared" si="73"/>
        <v>33831.55</v>
      </c>
      <c r="AM320" s="13">
        <f t="shared" si="74"/>
        <v>1923.34</v>
      </c>
      <c r="AN320" s="13">
        <f t="shared" si="75"/>
        <v>134.63</v>
      </c>
      <c r="AO320" s="13">
        <f t="shared" si="76"/>
        <v>57.7</v>
      </c>
      <c r="AP320" s="13">
        <f t="shared" si="77"/>
        <v>38.47</v>
      </c>
      <c r="AQ320" s="13" t="str">
        <f t="shared" si="78"/>
        <v>TJ202512241628000061967</v>
      </c>
      <c r="AR320" s="13">
        <f t="shared" si="79"/>
        <v>0.06</v>
      </c>
    </row>
    <row r="321" ht="15" spans="1:44">
      <c r="A321" s="15" t="s">
        <v>549</v>
      </c>
      <c r="B321" s="12" t="s">
        <v>57</v>
      </c>
      <c r="C321" s="12" t="s">
        <v>54</v>
      </c>
      <c r="D321" s="12" t="s">
        <v>47</v>
      </c>
      <c r="E321" s="12" t="s">
        <v>51</v>
      </c>
      <c r="F321" s="5">
        <f>ROUND(SUMIF([1]开票!$A$2:$A$1750,[1]申请!AQ321,[1]开票!$C$2:$C$1750),2)</f>
        <v>12162.72</v>
      </c>
      <c r="G321" s="5">
        <f>ROUND(SUMIF([1]开票!$A$2:$A$1750,[1]申请!AQ321,[1]开票!$D$2:$D$1750),2)</f>
        <v>0</v>
      </c>
      <c r="H321" s="5">
        <f>ROUND(SUMIF([1]开票!$A$2:$A$1750,[1]申请!AQ321,[1]开票!$E$2:$E$1750),2)</f>
        <v>729.76</v>
      </c>
      <c r="I321" s="5">
        <f t="shared" si="64"/>
        <v>12892.48</v>
      </c>
      <c r="J321" s="12"/>
      <c r="K321" s="32">
        <v>12892.48</v>
      </c>
      <c r="L321" s="12"/>
      <c r="M321" s="12"/>
      <c r="N321" s="12"/>
      <c r="O321" s="12"/>
      <c r="P321" s="12"/>
      <c r="Q321" s="15"/>
      <c r="R321" s="12"/>
      <c r="S321" s="12"/>
      <c r="T321" s="12"/>
      <c r="U321" s="12"/>
      <c r="V321" s="12"/>
      <c r="W321" s="12"/>
      <c r="X321" s="12"/>
      <c r="Y321" s="12"/>
      <c r="Z321" s="15"/>
      <c r="AA321" s="12"/>
      <c r="AB321" s="12"/>
      <c r="AC321" s="12"/>
      <c r="AD321" s="12">
        <f t="shared" si="65"/>
        <v>12892.48</v>
      </c>
      <c r="AE321" s="13">
        <f t="shared" si="66"/>
        <v>0</v>
      </c>
      <c r="AF321" s="14">
        <f t="shared" si="67"/>
        <v>0</v>
      </c>
      <c r="AG321" s="13">
        <f t="shared" si="68"/>
        <v>729.76</v>
      </c>
      <c r="AH321" s="13">
        <f t="shared" si="69"/>
        <v>51.08</v>
      </c>
      <c r="AI321" s="13">
        <f t="shared" si="70"/>
        <v>21.89</v>
      </c>
      <c r="AJ321" s="13">
        <f t="shared" si="71"/>
        <v>14.6</v>
      </c>
      <c r="AK321" s="13">
        <f t="shared" si="72"/>
        <v>0</v>
      </c>
      <c r="AL321" s="13">
        <f t="shared" si="73"/>
        <v>0</v>
      </c>
      <c r="AM321" s="13">
        <f t="shared" si="74"/>
        <v>729.76</v>
      </c>
      <c r="AN321" s="13">
        <f t="shared" si="75"/>
        <v>51.08</v>
      </c>
      <c r="AO321" s="13">
        <f t="shared" si="76"/>
        <v>21.89</v>
      </c>
      <c r="AP321" s="13">
        <f t="shared" si="77"/>
        <v>14.6</v>
      </c>
      <c r="AQ321" s="13" t="str">
        <f t="shared" si="78"/>
        <v>TJ202512241633000367465</v>
      </c>
      <c r="AR321" s="13">
        <f t="shared" si="79"/>
        <v>0.06</v>
      </c>
    </row>
    <row r="322" ht="15" spans="1:44">
      <c r="A322" s="15" t="s">
        <v>550</v>
      </c>
      <c r="B322" s="12" t="s">
        <v>57</v>
      </c>
      <c r="C322" s="12" t="s">
        <v>54</v>
      </c>
      <c r="D322" s="12" t="s">
        <v>47</v>
      </c>
      <c r="E322" s="12" t="s">
        <v>51</v>
      </c>
      <c r="F322" s="5">
        <f>ROUND(SUMIF([1]开票!$A$2:$A$1750,[1]申请!AQ322,[1]开票!$C$2:$C$1750),2)</f>
        <v>55081.7</v>
      </c>
      <c r="G322" s="5">
        <f>ROUND(SUMIF([1]开票!$A$2:$A$1750,[1]申请!AQ322,[1]开票!$D$2:$D$1750),2)</f>
        <v>0</v>
      </c>
      <c r="H322" s="5">
        <f>ROUND(SUMIF([1]开票!$A$2:$A$1750,[1]申请!AQ322,[1]开票!$E$2:$E$1750),2)</f>
        <v>3304.9</v>
      </c>
      <c r="I322" s="5">
        <f t="shared" ref="I322:I385" si="80">SUM(F322:H322)</f>
        <v>58386.6</v>
      </c>
      <c r="J322" s="12"/>
      <c r="K322" s="32">
        <v>58386.6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20"/>
      <c r="V322" s="12"/>
      <c r="W322" s="12"/>
      <c r="X322" s="12"/>
      <c r="Y322" s="12"/>
      <c r="Z322" s="12"/>
      <c r="AA322" s="12"/>
      <c r="AB322" s="12"/>
      <c r="AC322" s="12"/>
      <c r="AD322" s="12">
        <f t="shared" ref="AD322:AD385" si="81">SUM(J322:AC322)</f>
        <v>58386.6</v>
      </c>
      <c r="AE322" s="13">
        <f t="shared" ref="AE322:AE385" si="82">AD322-SUM(J322:AC322)</f>
        <v>0</v>
      </c>
      <c r="AF322" s="14">
        <f t="shared" ref="AF322:AF385" si="83">AD322-I322</f>
        <v>0</v>
      </c>
      <c r="AG322" s="13">
        <f t="shared" ref="AG322:AG385" si="84">ROUND(H322,2)</f>
        <v>3304.9</v>
      </c>
      <c r="AH322" s="13">
        <f t="shared" ref="AH322:AH385" si="85">ROUND(AG322*0.07,2)</f>
        <v>231.34</v>
      </c>
      <c r="AI322" s="13">
        <f t="shared" ref="AI322:AI385" si="86">ROUND(AG322*0.03,2)</f>
        <v>99.15</v>
      </c>
      <c r="AJ322" s="13">
        <f t="shared" ref="AJ322:AJ385" si="87">ROUND(AG322*0.02,2)</f>
        <v>66.1</v>
      </c>
      <c r="AK322" s="13">
        <f t="shared" ref="AK322:AK385" si="88">IF(AR322,Y322/(AR322*1.12)*AR322,0)</f>
        <v>0</v>
      </c>
      <c r="AL322" s="13">
        <f t="shared" ref="AL322:AL385" si="89">ROUND(Y322-AK322,2)</f>
        <v>0</v>
      </c>
      <c r="AM322" s="13">
        <f t="shared" ref="AM322:AM385" si="90">ROUND(AG322-AK322,2)</f>
        <v>3304.9</v>
      </c>
      <c r="AN322" s="13">
        <f t="shared" ref="AN322:AN385" si="91">ROUND(AM322*0.07,2)</f>
        <v>231.34</v>
      </c>
      <c r="AO322" s="13">
        <f t="shared" ref="AO322:AO385" si="92">ROUND(AM322*0.03,2)</f>
        <v>99.15</v>
      </c>
      <c r="AP322" s="13">
        <f t="shared" ref="AP322:AP385" si="93">ROUND(AH322+AI322+AJ322-AL322-AN322-AO322,2)</f>
        <v>66.1</v>
      </c>
      <c r="AQ322" s="13" t="str">
        <f t="shared" ref="AQ322:AQ385" si="94">"TJ"&amp;A322</f>
        <v>TJ202512241634000104731</v>
      </c>
      <c r="AR322" s="13">
        <f t="shared" ref="AR322:AR385" si="95">IF(E322="无全额",0,MID(E322,4,2)*1)</f>
        <v>0.06</v>
      </c>
    </row>
    <row r="323" ht="15" spans="1:44">
      <c r="A323" s="15" t="s">
        <v>551</v>
      </c>
      <c r="B323" s="12" t="s">
        <v>57</v>
      </c>
      <c r="C323" s="12" t="s">
        <v>54</v>
      </c>
      <c r="D323" s="12" t="s">
        <v>55</v>
      </c>
      <c r="E323" s="12" t="s">
        <v>51</v>
      </c>
      <c r="F323" s="5">
        <f>ROUND(SUMIF([1]开票!$A$2:$A$1750,[1]申请!AQ323,[1]开票!$C$2:$C$1750),2)</f>
        <v>238205.28</v>
      </c>
      <c r="G323" s="5">
        <f>ROUND(SUMIF([1]开票!$A$2:$A$1750,[1]申请!AQ323,[1]开票!$D$2:$D$1750),2)</f>
        <v>0</v>
      </c>
      <c r="H323" s="5">
        <f>ROUND(SUMIF([1]开票!$A$2:$A$1750,[1]申请!AQ323,[1]开票!$E$2:$E$1750),2)</f>
        <v>14292.32</v>
      </c>
      <c r="I323" s="5">
        <f t="shared" si="80"/>
        <v>252497.6</v>
      </c>
      <c r="J323" s="12">
        <v>252497.6</v>
      </c>
      <c r="K323" s="32"/>
      <c r="L323" s="15"/>
      <c r="M323" s="12"/>
      <c r="N323" s="12"/>
      <c r="O323" s="12"/>
      <c r="P323" s="12"/>
      <c r="Q323" s="12"/>
      <c r="R323" s="12"/>
      <c r="S323" s="20"/>
      <c r="T323" s="32"/>
      <c r="U323" s="12"/>
      <c r="V323" s="12"/>
      <c r="W323" s="12"/>
      <c r="X323" s="12"/>
      <c r="Y323" s="12"/>
      <c r="Z323" s="12"/>
      <c r="AA323" s="12"/>
      <c r="AB323" s="12"/>
      <c r="AC323" s="12"/>
      <c r="AD323" s="12">
        <f t="shared" si="81"/>
        <v>252497.6</v>
      </c>
      <c r="AE323" s="13">
        <f t="shared" si="82"/>
        <v>0</v>
      </c>
      <c r="AF323" s="14">
        <f t="shared" si="83"/>
        <v>0</v>
      </c>
      <c r="AG323" s="13">
        <f t="shared" si="84"/>
        <v>14292.32</v>
      </c>
      <c r="AH323" s="13">
        <f t="shared" si="85"/>
        <v>1000.46</v>
      </c>
      <c r="AI323" s="13">
        <f t="shared" si="86"/>
        <v>428.77</v>
      </c>
      <c r="AJ323" s="13">
        <f t="shared" si="87"/>
        <v>285.85</v>
      </c>
      <c r="AK323" s="13">
        <f t="shared" si="88"/>
        <v>0</v>
      </c>
      <c r="AL323" s="13">
        <f t="shared" si="89"/>
        <v>0</v>
      </c>
      <c r="AM323" s="13">
        <f t="shared" si="90"/>
        <v>14292.32</v>
      </c>
      <c r="AN323" s="13">
        <f t="shared" si="91"/>
        <v>1000.46</v>
      </c>
      <c r="AO323" s="13">
        <f t="shared" si="92"/>
        <v>428.77</v>
      </c>
      <c r="AP323" s="13">
        <f t="shared" si="93"/>
        <v>285.85</v>
      </c>
      <c r="AQ323" s="13" t="str">
        <f t="shared" si="94"/>
        <v>TJ202512241635000351022</v>
      </c>
      <c r="AR323" s="13">
        <f t="shared" si="95"/>
        <v>0.06</v>
      </c>
    </row>
    <row r="324" ht="15" spans="1:44">
      <c r="A324" s="15" t="s">
        <v>552</v>
      </c>
      <c r="B324" s="12" t="s">
        <v>57</v>
      </c>
      <c r="C324" s="12" t="s">
        <v>54</v>
      </c>
      <c r="D324" s="12" t="s">
        <v>55</v>
      </c>
      <c r="E324" s="12" t="s">
        <v>51</v>
      </c>
      <c r="F324" s="5">
        <f>ROUND(SUMIF([1]开票!$A$2:$A$1750,[1]申请!AQ324,[1]开票!$C$2:$C$1750),2)</f>
        <v>16868.2</v>
      </c>
      <c r="G324" s="5">
        <f>ROUND(SUMIF([1]开票!$A$2:$A$1750,[1]申请!AQ324,[1]开票!$D$2:$D$1750),2)</f>
        <v>0</v>
      </c>
      <c r="H324" s="5">
        <f>ROUND(SUMIF([1]开票!$A$2:$A$1750,[1]申请!AQ324,[1]开票!$E$2:$E$1750),2)</f>
        <v>1012.09</v>
      </c>
      <c r="I324" s="5">
        <f t="shared" si="80"/>
        <v>17880.29</v>
      </c>
      <c r="J324" s="12">
        <v>17880.29</v>
      </c>
      <c r="K324" s="32"/>
      <c r="L324" s="15"/>
      <c r="M324" s="12"/>
      <c r="N324" s="12"/>
      <c r="O324" s="12"/>
      <c r="P324" s="12"/>
      <c r="Q324" s="12"/>
      <c r="R324" s="12"/>
      <c r="S324" s="12"/>
      <c r="T324" s="12"/>
      <c r="U324" s="20"/>
      <c r="V324" s="20"/>
      <c r="W324" s="12"/>
      <c r="X324" s="12"/>
      <c r="Y324" s="12"/>
      <c r="Z324" s="12"/>
      <c r="AA324" s="12"/>
      <c r="AB324" s="12"/>
      <c r="AC324" s="12"/>
      <c r="AD324" s="12">
        <f t="shared" si="81"/>
        <v>17880.29</v>
      </c>
      <c r="AE324" s="13">
        <f t="shared" si="82"/>
        <v>0</v>
      </c>
      <c r="AF324" s="14">
        <f t="shared" si="83"/>
        <v>0</v>
      </c>
      <c r="AG324" s="13">
        <f t="shared" si="84"/>
        <v>1012.09</v>
      </c>
      <c r="AH324" s="13">
        <f t="shared" si="85"/>
        <v>70.85</v>
      </c>
      <c r="AI324" s="13">
        <f t="shared" si="86"/>
        <v>30.36</v>
      </c>
      <c r="AJ324" s="13">
        <f t="shared" si="87"/>
        <v>20.24</v>
      </c>
      <c r="AK324" s="13">
        <f t="shared" si="88"/>
        <v>0</v>
      </c>
      <c r="AL324" s="13">
        <f t="shared" si="89"/>
        <v>0</v>
      </c>
      <c r="AM324" s="13">
        <f t="shared" si="90"/>
        <v>1012.09</v>
      </c>
      <c r="AN324" s="13">
        <f t="shared" si="91"/>
        <v>70.85</v>
      </c>
      <c r="AO324" s="13">
        <f t="shared" si="92"/>
        <v>30.36</v>
      </c>
      <c r="AP324" s="13">
        <f t="shared" si="93"/>
        <v>20.24</v>
      </c>
      <c r="AQ324" s="13" t="str">
        <f t="shared" si="94"/>
        <v>TJ202512241637000165536</v>
      </c>
      <c r="AR324" s="13">
        <f t="shared" si="95"/>
        <v>0.06</v>
      </c>
    </row>
    <row r="325" ht="15" spans="1:44">
      <c r="A325" s="39" t="s">
        <v>553</v>
      </c>
      <c r="B325" s="12" t="s">
        <v>57</v>
      </c>
      <c r="C325" s="12" t="s">
        <v>54</v>
      </c>
      <c r="D325" s="21" t="s">
        <v>55</v>
      </c>
      <c r="E325" s="12" t="s">
        <v>51</v>
      </c>
      <c r="F325" s="5">
        <f>ROUND(SUMIF([1]开票!$A$2:$A$1750,[1]申请!AQ325,[1]开票!$C$2:$C$1750),2)</f>
        <v>29246.75</v>
      </c>
      <c r="G325" s="5">
        <f>ROUND(SUMIF([1]开票!$A$2:$A$1750,[1]申请!AQ325,[1]开票!$D$2:$D$1750),2)</f>
        <v>0</v>
      </c>
      <c r="H325" s="5">
        <f>ROUND(SUMIF([1]开票!$A$2:$A$1750,[1]申请!AQ325,[1]开票!$E$2:$E$1750),2)</f>
        <v>1754.8</v>
      </c>
      <c r="I325" s="5">
        <f t="shared" si="80"/>
        <v>31001.55</v>
      </c>
      <c r="J325" s="12">
        <v>31001.55</v>
      </c>
      <c r="K325" s="32"/>
      <c r="L325" s="12"/>
      <c r="M325" s="12"/>
      <c r="N325" s="12"/>
      <c r="O325" s="12"/>
      <c r="P325" s="12"/>
      <c r="Q325" s="12"/>
      <c r="R325" s="12"/>
      <c r="S325" s="12"/>
      <c r="T325" s="12"/>
      <c r="U325" s="20"/>
      <c r="V325" s="12"/>
      <c r="W325" s="12"/>
      <c r="X325" s="12"/>
      <c r="Y325" s="12"/>
      <c r="Z325" s="12"/>
      <c r="AA325" s="12"/>
      <c r="AB325" s="12"/>
      <c r="AC325" s="12"/>
      <c r="AD325" s="12">
        <f t="shared" si="81"/>
        <v>31001.55</v>
      </c>
      <c r="AE325" s="13">
        <f t="shared" si="82"/>
        <v>0</v>
      </c>
      <c r="AF325" s="14">
        <f t="shared" si="83"/>
        <v>0</v>
      </c>
      <c r="AG325" s="13">
        <f t="shared" si="84"/>
        <v>1754.8</v>
      </c>
      <c r="AH325" s="13">
        <f t="shared" si="85"/>
        <v>122.84</v>
      </c>
      <c r="AI325" s="13">
        <f t="shared" si="86"/>
        <v>52.64</v>
      </c>
      <c r="AJ325" s="13">
        <f t="shared" si="87"/>
        <v>35.1</v>
      </c>
      <c r="AK325" s="13">
        <f t="shared" si="88"/>
        <v>0</v>
      </c>
      <c r="AL325" s="13">
        <f t="shared" si="89"/>
        <v>0</v>
      </c>
      <c r="AM325" s="13">
        <f t="shared" si="90"/>
        <v>1754.8</v>
      </c>
      <c r="AN325" s="13">
        <f t="shared" si="91"/>
        <v>122.84</v>
      </c>
      <c r="AO325" s="13">
        <f t="shared" si="92"/>
        <v>52.64</v>
      </c>
      <c r="AP325" s="13">
        <f t="shared" si="93"/>
        <v>35.1</v>
      </c>
      <c r="AQ325" s="13" t="str">
        <f t="shared" si="94"/>
        <v>TJ202512241638000217428</v>
      </c>
      <c r="AR325" s="13">
        <f t="shared" si="95"/>
        <v>0.06</v>
      </c>
    </row>
    <row r="326" ht="15" spans="1:44">
      <c r="A326" s="39" t="s">
        <v>554</v>
      </c>
      <c r="B326" s="12" t="s">
        <v>57</v>
      </c>
      <c r="C326" s="12" t="s">
        <v>54</v>
      </c>
      <c r="D326" s="21" t="s">
        <v>55</v>
      </c>
      <c r="E326" s="12" t="s">
        <v>51</v>
      </c>
      <c r="F326" s="5">
        <f>ROUND(SUMIF([1]开票!$A$2:$A$1750,[1]申请!AQ326,[1]开票!$C$2:$C$1750),2)</f>
        <v>39861.95</v>
      </c>
      <c r="G326" s="5">
        <f>ROUND(SUMIF([1]开票!$A$2:$A$1750,[1]申请!AQ326,[1]开票!$D$2:$D$1750),2)</f>
        <v>0</v>
      </c>
      <c r="H326" s="5">
        <f>ROUND(SUMIF([1]开票!$A$2:$A$1750,[1]申请!AQ326,[1]开票!$E$2:$E$1750),2)</f>
        <v>2391.72</v>
      </c>
      <c r="I326" s="5">
        <f t="shared" si="80"/>
        <v>42253.67</v>
      </c>
      <c r="J326" s="12">
        <v>42253.67</v>
      </c>
      <c r="K326" s="32"/>
      <c r="L326" s="12"/>
      <c r="M326" s="12"/>
      <c r="N326" s="12"/>
      <c r="O326" s="12"/>
      <c r="P326" s="12"/>
      <c r="Q326" s="12"/>
      <c r="R326" s="12"/>
      <c r="S326" s="20"/>
      <c r="T326" s="20"/>
      <c r="U326" s="12"/>
      <c r="V326" s="12"/>
      <c r="W326" s="12"/>
      <c r="X326" s="12"/>
      <c r="Y326" s="12"/>
      <c r="Z326" s="12"/>
      <c r="AA326" s="12"/>
      <c r="AB326" s="12"/>
      <c r="AC326" s="12"/>
      <c r="AD326" s="12">
        <f t="shared" si="81"/>
        <v>42253.67</v>
      </c>
      <c r="AE326" s="13">
        <f t="shared" si="82"/>
        <v>0</v>
      </c>
      <c r="AF326" s="14">
        <f t="shared" si="83"/>
        <v>0</v>
      </c>
      <c r="AG326" s="13">
        <f t="shared" si="84"/>
        <v>2391.72</v>
      </c>
      <c r="AH326" s="13">
        <f t="shared" si="85"/>
        <v>167.42</v>
      </c>
      <c r="AI326" s="13">
        <f t="shared" si="86"/>
        <v>71.75</v>
      </c>
      <c r="AJ326" s="13">
        <f t="shared" si="87"/>
        <v>47.83</v>
      </c>
      <c r="AK326" s="13">
        <f t="shared" si="88"/>
        <v>0</v>
      </c>
      <c r="AL326" s="13">
        <f t="shared" si="89"/>
        <v>0</v>
      </c>
      <c r="AM326" s="13">
        <f t="shared" si="90"/>
        <v>2391.72</v>
      </c>
      <c r="AN326" s="13">
        <f t="shared" si="91"/>
        <v>167.42</v>
      </c>
      <c r="AO326" s="13">
        <f t="shared" si="92"/>
        <v>71.75</v>
      </c>
      <c r="AP326" s="13">
        <f t="shared" si="93"/>
        <v>47.83</v>
      </c>
      <c r="AQ326" s="13" t="str">
        <f t="shared" si="94"/>
        <v>TJ202512241642000101583</v>
      </c>
      <c r="AR326" s="13">
        <f t="shared" si="95"/>
        <v>0.06</v>
      </c>
    </row>
    <row r="327" ht="15" spans="1:44">
      <c r="A327" s="39" t="s">
        <v>555</v>
      </c>
      <c r="B327" s="12" t="s">
        <v>293</v>
      </c>
      <c r="C327" s="12" t="s">
        <v>54</v>
      </c>
      <c r="D327" s="21" t="s">
        <v>55</v>
      </c>
      <c r="E327" s="12" t="s">
        <v>51</v>
      </c>
      <c r="F327" s="5">
        <f>ROUND(SUMIF([1]开票!$A$2:$A$1750,[1]申请!AQ327,[1]开票!$C$2:$C$1750),2)</f>
        <v>416781.3</v>
      </c>
      <c r="G327" s="5">
        <f>ROUND(SUMIF([1]开票!$A$2:$A$1750,[1]申请!AQ327,[1]开票!$D$2:$D$1750),2)</f>
        <v>0</v>
      </c>
      <c r="H327" s="5">
        <f>ROUND(SUMIF([1]开票!$A$2:$A$1750,[1]申请!AQ327,[1]开票!$E$2:$E$1750),2)</f>
        <v>25006.88</v>
      </c>
      <c r="I327" s="5">
        <f t="shared" si="80"/>
        <v>441788.18</v>
      </c>
      <c r="J327" s="12"/>
      <c r="K327" s="32"/>
      <c r="L327" s="12">
        <v>441788.18</v>
      </c>
      <c r="M327" s="12"/>
      <c r="N327" s="12"/>
      <c r="O327" s="12"/>
      <c r="P327" s="12"/>
      <c r="Q327" s="12"/>
      <c r="R327" s="12"/>
      <c r="S327" s="20"/>
      <c r="T327" s="20"/>
      <c r="U327" s="12"/>
      <c r="V327" s="12"/>
      <c r="W327" s="12"/>
      <c r="X327" s="12"/>
      <c r="Y327" s="12"/>
      <c r="Z327" s="12"/>
      <c r="AA327" s="12"/>
      <c r="AB327" s="12"/>
      <c r="AC327" s="12"/>
      <c r="AD327" s="12">
        <f t="shared" si="81"/>
        <v>441788.18</v>
      </c>
      <c r="AE327" s="13">
        <f t="shared" si="82"/>
        <v>0</v>
      </c>
      <c r="AF327" s="14">
        <f t="shared" si="83"/>
        <v>0</v>
      </c>
      <c r="AG327" s="13">
        <f t="shared" si="84"/>
        <v>25006.88</v>
      </c>
      <c r="AH327" s="13">
        <f t="shared" si="85"/>
        <v>1750.48</v>
      </c>
      <c r="AI327" s="13">
        <f t="shared" si="86"/>
        <v>750.21</v>
      </c>
      <c r="AJ327" s="13">
        <f t="shared" si="87"/>
        <v>500.14</v>
      </c>
      <c r="AK327" s="13">
        <f t="shared" si="88"/>
        <v>0</v>
      </c>
      <c r="AL327" s="13">
        <f t="shared" si="89"/>
        <v>0</v>
      </c>
      <c r="AM327" s="13">
        <f t="shared" si="90"/>
        <v>25006.88</v>
      </c>
      <c r="AN327" s="13">
        <f t="shared" si="91"/>
        <v>1750.48</v>
      </c>
      <c r="AO327" s="13">
        <f t="shared" si="92"/>
        <v>750.21</v>
      </c>
      <c r="AP327" s="13">
        <f t="shared" si="93"/>
        <v>500.14</v>
      </c>
      <c r="AQ327" s="13" t="str">
        <f t="shared" si="94"/>
        <v>TJ202512241644000211570</v>
      </c>
      <c r="AR327" s="13">
        <f t="shared" si="95"/>
        <v>0.06</v>
      </c>
    </row>
    <row r="328" ht="15" spans="1:44">
      <c r="A328" s="39" t="s">
        <v>556</v>
      </c>
      <c r="B328" s="12" t="s">
        <v>57</v>
      </c>
      <c r="C328" s="12" t="s">
        <v>54</v>
      </c>
      <c r="D328" s="21" t="s">
        <v>55</v>
      </c>
      <c r="E328" s="12" t="s">
        <v>51</v>
      </c>
      <c r="F328" s="5">
        <f>ROUND(SUMIF([1]开票!$A$2:$A$1750,[1]申请!AQ328,[1]开票!$C$2:$C$1750),2)</f>
        <v>39476.25</v>
      </c>
      <c r="G328" s="5">
        <f>ROUND(SUMIF([1]开票!$A$2:$A$1750,[1]申请!AQ328,[1]开票!$D$2:$D$1750),2)</f>
        <v>0</v>
      </c>
      <c r="H328" s="5">
        <f>ROUND(SUMIF([1]开票!$A$2:$A$1750,[1]申请!AQ328,[1]开票!$E$2:$E$1750),2)</f>
        <v>2368.57</v>
      </c>
      <c r="I328" s="5">
        <f t="shared" si="80"/>
        <v>41844.82</v>
      </c>
      <c r="J328" s="12">
        <v>41844.82</v>
      </c>
      <c r="K328" s="12"/>
      <c r="L328" s="12"/>
      <c r="M328" s="12"/>
      <c r="N328" s="12"/>
      <c r="O328" s="12"/>
      <c r="P328" s="12"/>
      <c r="Q328" s="12"/>
      <c r="R328" s="12"/>
      <c r="S328" s="20"/>
      <c r="T328" s="32"/>
      <c r="U328" s="12"/>
      <c r="V328" s="12"/>
      <c r="W328" s="12"/>
      <c r="X328" s="12"/>
      <c r="Y328" s="12"/>
      <c r="Z328" s="12"/>
      <c r="AA328" s="12"/>
      <c r="AB328" s="12"/>
      <c r="AC328" s="12"/>
      <c r="AD328" s="12">
        <f t="shared" si="81"/>
        <v>41844.82</v>
      </c>
      <c r="AE328" s="13">
        <f t="shared" si="82"/>
        <v>0</v>
      </c>
      <c r="AF328" s="14">
        <f t="shared" si="83"/>
        <v>0</v>
      </c>
      <c r="AG328" s="13">
        <f t="shared" si="84"/>
        <v>2368.57</v>
      </c>
      <c r="AH328" s="13">
        <f t="shared" si="85"/>
        <v>165.8</v>
      </c>
      <c r="AI328" s="13">
        <f t="shared" si="86"/>
        <v>71.06</v>
      </c>
      <c r="AJ328" s="13">
        <f t="shared" si="87"/>
        <v>47.37</v>
      </c>
      <c r="AK328" s="13">
        <f t="shared" si="88"/>
        <v>0</v>
      </c>
      <c r="AL328" s="13">
        <f t="shared" si="89"/>
        <v>0</v>
      </c>
      <c r="AM328" s="13">
        <f t="shared" si="90"/>
        <v>2368.57</v>
      </c>
      <c r="AN328" s="13">
        <f t="shared" si="91"/>
        <v>165.8</v>
      </c>
      <c r="AO328" s="13">
        <f t="shared" si="92"/>
        <v>71.06</v>
      </c>
      <c r="AP328" s="13">
        <f t="shared" si="93"/>
        <v>47.37</v>
      </c>
      <c r="AQ328" s="13" t="str">
        <f t="shared" si="94"/>
        <v>TJ202512241645000319690</v>
      </c>
      <c r="AR328" s="13">
        <f t="shared" si="95"/>
        <v>0.06</v>
      </c>
    </row>
    <row r="329" ht="15" spans="1:44">
      <c r="A329" s="39" t="s">
        <v>557</v>
      </c>
      <c r="B329" s="12" t="s">
        <v>57</v>
      </c>
      <c r="C329" s="12" t="s">
        <v>54</v>
      </c>
      <c r="D329" s="21" t="s">
        <v>47</v>
      </c>
      <c r="E329" s="12" t="s">
        <v>51</v>
      </c>
      <c r="F329" s="5">
        <f>ROUND(SUMIF([1]开票!$A$2:$A$1750,[1]申请!AQ329,[1]开票!$C$2:$C$1750),2)</f>
        <v>140617.48</v>
      </c>
      <c r="G329" s="5">
        <f>ROUND(SUMIF([1]开票!$A$2:$A$1750,[1]申请!AQ329,[1]开票!$D$2:$D$1750),2)</f>
        <v>0</v>
      </c>
      <c r="H329" s="5">
        <f>ROUND(SUMIF([1]开票!$A$2:$A$1750,[1]申请!AQ329,[1]开票!$E$2:$E$1750),2)</f>
        <v>8437.05</v>
      </c>
      <c r="I329" s="5">
        <f t="shared" si="80"/>
        <v>149054.53</v>
      </c>
      <c r="J329" s="12">
        <v>149054.53</v>
      </c>
      <c r="K329" s="12"/>
      <c r="L329" s="12"/>
      <c r="M329" s="12"/>
      <c r="N329" s="12"/>
      <c r="O329" s="12"/>
      <c r="P329" s="12"/>
      <c r="Q329" s="12"/>
      <c r="R329" s="12"/>
      <c r="S329" s="20"/>
      <c r="T329" s="20"/>
      <c r="U329" s="12"/>
      <c r="V329" s="12"/>
      <c r="W329" s="12"/>
      <c r="X329" s="12"/>
      <c r="Y329" s="12"/>
      <c r="Z329" s="12"/>
      <c r="AA329" s="12"/>
      <c r="AB329" s="12"/>
      <c r="AC329" s="12"/>
      <c r="AD329" s="12">
        <f t="shared" si="81"/>
        <v>149054.53</v>
      </c>
      <c r="AE329" s="13">
        <f t="shared" si="82"/>
        <v>0</v>
      </c>
      <c r="AF329" s="14">
        <f t="shared" si="83"/>
        <v>0</v>
      </c>
      <c r="AG329" s="13">
        <f t="shared" si="84"/>
        <v>8437.05</v>
      </c>
      <c r="AH329" s="13">
        <f t="shared" si="85"/>
        <v>590.59</v>
      </c>
      <c r="AI329" s="13">
        <f t="shared" si="86"/>
        <v>253.11</v>
      </c>
      <c r="AJ329" s="13">
        <f t="shared" si="87"/>
        <v>168.74</v>
      </c>
      <c r="AK329" s="13">
        <f t="shared" si="88"/>
        <v>0</v>
      </c>
      <c r="AL329" s="13">
        <f t="shared" si="89"/>
        <v>0</v>
      </c>
      <c r="AM329" s="13">
        <f t="shared" si="90"/>
        <v>8437.05</v>
      </c>
      <c r="AN329" s="13">
        <f t="shared" si="91"/>
        <v>590.59</v>
      </c>
      <c r="AO329" s="13">
        <f t="shared" si="92"/>
        <v>253.11</v>
      </c>
      <c r="AP329" s="13">
        <f t="shared" si="93"/>
        <v>168.74</v>
      </c>
      <c r="AQ329" s="13" t="str">
        <f t="shared" si="94"/>
        <v>TJ202512241646000541066</v>
      </c>
      <c r="AR329" s="13">
        <f t="shared" si="95"/>
        <v>0.06</v>
      </c>
    </row>
    <row r="330" spans="1:44">
      <c r="A330" s="39" t="s">
        <v>558</v>
      </c>
      <c r="B330" s="12" t="s">
        <v>177</v>
      </c>
      <c r="C330" s="21" t="s">
        <v>54</v>
      </c>
      <c r="D330" s="21" t="s">
        <v>47</v>
      </c>
      <c r="E330" s="12" t="s">
        <v>51</v>
      </c>
      <c r="F330" s="5">
        <f>ROUND(SUMIF([1]开票!$A$2:$A$1750,[1]申请!AQ330,[1]开票!$C$2:$C$1750),2)</f>
        <v>47333.79</v>
      </c>
      <c r="G330" s="5">
        <f>ROUND(SUMIF([1]开票!$A$2:$A$1750,[1]申请!AQ330,[1]开票!$D$2:$D$1750),2)</f>
        <v>0</v>
      </c>
      <c r="H330" s="5">
        <f>ROUND(SUMIF([1]开票!$A$2:$A$1750,[1]申请!AQ330,[1]开票!$E$2:$E$1750),2)</f>
        <v>2840.03</v>
      </c>
      <c r="I330" s="5">
        <f t="shared" si="80"/>
        <v>50173.82</v>
      </c>
      <c r="J330" s="12">
        <v>170.56</v>
      </c>
      <c r="K330" s="12"/>
      <c r="L330" s="15"/>
      <c r="M330" s="12"/>
      <c r="N330" s="12"/>
      <c r="O330" s="12"/>
      <c r="P330" s="12"/>
      <c r="Q330" s="12"/>
      <c r="R330" s="12"/>
      <c r="S330" s="12">
        <v>24000</v>
      </c>
      <c r="T330" s="12">
        <v>4750</v>
      </c>
      <c r="U330" s="12">
        <v>12308</v>
      </c>
      <c r="V330" s="12">
        <v>4760</v>
      </c>
      <c r="W330" s="12">
        <v>40</v>
      </c>
      <c r="X330" s="12">
        <v>510</v>
      </c>
      <c r="Y330" s="12">
        <v>3127.39</v>
      </c>
      <c r="Z330" s="12"/>
      <c r="AA330" s="12">
        <v>507.87</v>
      </c>
      <c r="AB330" s="12"/>
      <c r="AC330" s="12"/>
      <c r="AD330" s="12">
        <f t="shared" si="81"/>
        <v>50173.82</v>
      </c>
      <c r="AE330" s="13">
        <f t="shared" si="82"/>
        <v>0</v>
      </c>
      <c r="AF330" s="14">
        <f t="shared" si="83"/>
        <v>0</v>
      </c>
      <c r="AG330" s="13">
        <f t="shared" si="84"/>
        <v>2840.03</v>
      </c>
      <c r="AH330" s="13">
        <f t="shared" si="85"/>
        <v>198.8</v>
      </c>
      <c r="AI330" s="13">
        <f t="shared" si="86"/>
        <v>85.2</v>
      </c>
      <c r="AJ330" s="13">
        <f t="shared" si="87"/>
        <v>56.8</v>
      </c>
      <c r="AK330" s="13">
        <f t="shared" si="88"/>
        <v>2792.3125</v>
      </c>
      <c r="AL330" s="13">
        <f t="shared" si="89"/>
        <v>335.08</v>
      </c>
      <c r="AM330" s="13">
        <f t="shared" si="90"/>
        <v>47.72</v>
      </c>
      <c r="AN330" s="13">
        <f t="shared" si="91"/>
        <v>3.34</v>
      </c>
      <c r="AO330" s="13">
        <f t="shared" si="92"/>
        <v>1.43</v>
      </c>
      <c r="AP330" s="13">
        <f t="shared" si="93"/>
        <v>0.95</v>
      </c>
      <c r="AQ330" s="13" t="str">
        <f t="shared" si="94"/>
        <v>TJ202512241656000311780</v>
      </c>
      <c r="AR330" s="13">
        <f t="shared" si="95"/>
        <v>0.06</v>
      </c>
    </row>
    <row r="331" spans="1:44">
      <c r="A331" s="39" t="s">
        <v>559</v>
      </c>
      <c r="B331" s="12" t="s">
        <v>57</v>
      </c>
      <c r="C331" s="21" t="s">
        <v>54</v>
      </c>
      <c r="D331" s="21" t="s">
        <v>55</v>
      </c>
      <c r="E331" s="12" t="s">
        <v>51</v>
      </c>
      <c r="F331" s="5">
        <f>ROUND(SUMIF([1]开票!$A$2:$A$1750,[1]申请!AQ331,[1]开票!$C$2:$C$1750),2)</f>
        <v>33700.9</v>
      </c>
      <c r="G331" s="5">
        <f>ROUND(SUMIF([1]开票!$A$2:$A$1750,[1]申请!AQ331,[1]开票!$D$2:$D$1750),2)</f>
        <v>0</v>
      </c>
      <c r="H331" s="5">
        <f>ROUND(SUMIF([1]开票!$A$2:$A$1750,[1]申请!AQ331,[1]开票!$E$2:$E$1750),2)</f>
        <v>2022.05</v>
      </c>
      <c r="I331" s="5">
        <f t="shared" si="80"/>
        <v>35722.95</v>
      </c>
      <c r="J331" s="12">
        <v>35722.95</v>
      </c>
      <c r="K331" s="12"/>
      <c r="L331" s="15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>
        <f t="shared" si="81"/>
        <v>35722.95</v>
      </c>
      <c r="AE331" s="13">
        <f t="shared" si="82"/>
        <v>0</v>
      </c>
      <c r="AF331" s="14">
        <f t="shared" si="83"/>
        <v>0</v>
      </c>
      <c r="AG331" s="13">
        <f t="shared" si="84"/>
        <v>2022.05</v>
      </c>
      <c r="AH331" s="13">
        <f t="shared" si="85"/>
        <v>141.54</v>
      </c>
      <c r="AI331" s="13">
        <f t="shared" si="86"/>
        <v>60.66</v>
      </c>
      <c r="AJ331" s="13">
        <f t="shared" si="87"/>
        <v>40.44</v>
      </c>
      <c r="AK331" s="13">
        <f t="shared" si="88"/>
        <v>0</v>
      </c>
      <c r="AL331" s="13">
        <f t="shared" si="89"/>
        <v>0</v>
      </c>
      <c r="AM331" s="13">
        <f t="shared" si="90"/>
        <v>2022.05</v>
      </c>
      <c r="AN331" s="13">
        <f t="shared" si="91"/>
        <v>141.54</v>
      </c>
      <c r="AO331" s="13">
        <f t="shared" si="92"/>
        <v>60.66</v>
      </c>
      <c r="AP331" s="13">
        <f t="shared" si="93"/>
        <v>40.44</v>
      </c>
      <c r="AQ331" s="13" t="str">
        <f t="shared" si="94"/>
        <v>TJ202512241704000373137</v>
      </c>
      <c r="AR331" s="13">
        <f t="shared" si="95"/>
        <v>0.06</v>
      </c>
    </row>
    <row r="332" ht="15" spans="1:44">
      <c r="A332" s="39" t="s">
        <v>560</v>
      </c>
      <c r="B332" s="12" t="s">
        <v>57</v>
      </c>
      <c r="C332" s="12" t="s">
        <v>54</v>
      </c>
      <c r="D332" s="21" t="s">
        <v>55</v>
      </c>
      <c r="E332" s="12" t="s">
        <v>51</v>
      </c>
      <c r="F332" s="5">
        <f>ROUND(SUMIF([1]开票!$A$2:$A$1750,[1]申请!AQ332,[1]开票!$C$2:$C$1750),2)</f>
        <v>25332.43</v>
      </c>
      <c r="G332" s="5">
        <f>ROUND(SUMIF([1]开票!$A$2:$A$1750,[1]申请!AQ332,[1]开票!$D$2:$D$1750),2)</f>
        <v>0</v>
      </c>
      <c r="H332" s="5">
        <f>ROUND(SUMIF([1]开票!$A$2:$A$1750,[1]申请!AQ332,[1]开票!$E$2:$E$1750),2)</f>
        <v>1519.95</v>
      </c>
      <c r="I332" s="5">
        <f t="shared" si="80"/>
        <v>26852.38</v>
      </c>
      <c r="J332" s="12">
        <v>26852.38</v>
      </c>
      <c r="K332" s="15"/>
      <c r="L332" s="15"/>
      <c r="M332" s="12"/>
      <c r="N332" s="12"/>
      <c r="O332" s="12"/>
      <c r="P332" s="12"/>
      <c r="Q332" s="12"/>
      <c r="R332" s="12"/>
      <c r="S332" s="15"/>
      <c r="T332" s="20"/>
      <c r="U332" s="12"/>
      <c r="V332" s="12"/>
      <c r="W332" s="12"/>
      <c r="X332" s="12"/>
      <c r="Y332" s="12"/>
      <c r="Z332" s="12"/>
      <c r="AA332" s="12"/>
      <c r="AB332" s="12"/>
      <c r="AC332" s="12"/>
      <c r="AD332" s="12">
        <f t="shared" si="81"/>
        <v>26852.38</v>
      </c>
      <c r="AE332" s="13">
        <f t="shared" si="82"/>
        <v>0</v>
      </c>
      <c r="AF332" s="14">
        <f t="shared" si="83"/>
        <v>0</v>
      </c>
      <c r="AG332" s="13">
        <f t="shared" si="84"/>
        <v>1519.95</v>
      </c>
      <c r="AH332" s="13">
        <f t="shared" si="85"/>
        <v>106.4</v>
      </c>
      <c r="AI332" s="13">
        <f t="shared" si="86"/>
        <v>45.6</v>
      </c>
      <c r="AJ332" s="13">
        <f t="shared" si="87"/>
        <v>30.4</v>
      </c>
      <c r="AK332" s="13">
        <f t="shared" si="88"/>
        <v>0</v>
      </c>
      <c r="AL332" s="13">
        <f t="shared" si="89"/>
        <v>0</v>
      </c>
      <c r="AM332" s="13">
        <f t="shared" si="90"/>
        <v>1519.95</v>
      </c>
      <c r="AN332" s="13">
        <f t="shared" si="91"/>
        <v>106.4</v>
      </c>
      <c r="AO332" s="13">
        <f t="shared" si="92"/>
        <v>45.6</v>
      </c>
      <c r="AP332" s="13">
        <f t="shared" si="93"/>
        <v>30.4</v>
      </c>
      <c r="AQ332" s="13" t="str">
        <f t="shared" si="94"/>
        <v>TJ202512241715000244086</v>
      </c>
      <c r="AR332" s="13">
        <f t="shared" si="95"/>
        <v>0.06</v>
      </c>
    </row>
    <row r="333" spans="1:44">
      <c r="A333" s="21" t="s">
        <v>561</v>
      </c>
      <c r="B333" s="12" t="s">
        <v>57</v>
      </c>
      <c r="C333" s="21" t="s">
        <v>54</v>
      </c>
      <c r="D333" s="21" t="s">
        <v>55</v>
      </c>
      <c r="E333" s="21" t="s">
        <v>51</v>
      </c>
      <c r="F333" s="5">
        <f>ROUND(SUMIF([1]开票!$A$2:$A$1750,[1]申请!AQ333,[1]开票!$C$2:$C$1750),2)</f>
        <v>11918.78</v>
      </c>
      <c r="G333" s="5">
        <f>ROUND(SUMIF([1]开票!$A$2:$A$1750,[1]申请!AQ333,[1]开票!$D$2:$D$1750),2)</f>
        <v>0</v>
      </c>
      <c r="H333" s="5">
        <f>ROUND(SUMIF([1]开票!$A$2:$A$1750,[1]申请!AQ333,[1]开票!$E$2:$E$1750),2)</f>
        <v>715.13</v>
      </c>
      <c r="I333" s="5">
        <f t="shared" si="80"/>
        <v>12633.91</v>
      </c>
      <c r="J333" s="12">
        <v>12633.91</v>
      </c>
      <c r="K333" s="12"/>
      <c r="L333" s="17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>
        <f t="shared" si="81"/>
        <v>12633.91</v>
      </c>
      <c r="AE333" s="13">
        <f t="shared" si="82"/>
        <v>0</v>
      </c>
      <c r="AF333" s="14">
        <f t="shared" si="83"/>
        <v>0</v>
      </c>
      <c r="AG333" s="13">
        <f t="shared" si="84"/>
        <v>715.13</v>
      </c>
      <c r="AH333" s="13">
        <f t="shared" si="85"/>
        <v>50.06</v>
      </c>
      <c r="AI333" s="13">
        <f t="shared" si="86"/>
        <v>21.45</v>
      </c>
      <c r="AJ333" s="13">
        <f t="shared" si="87"/>
        <v>14.3</v>
      </c>
      <c r="AK333" s="13">
        <f t="shared" si="88"/>
        <v>0</v>
      </c>
      <c r="AL333" s="13">
        <f t="shared" si="89"/>
        <v>0</v>
      </c>
      <c r="AM333" s="13">
        <f t="shared" si="90"/>
        <v>715.13</v>
      </c>
      <c r="AN333" s="13">
        <f t="shared" si="91"/>
        <v>50.06</v>
      </c>
      <c r="AO333" s="13">
        <f t="shared" si="92"/>
        <v>21.45</v>
      </c>
      <c r="AP333" s="13">
        <f t="shared" si="93"/>
        <v>14.3</v>
      </c>
      <c r="AQ333" s="13" t="str">
        <f t="shared" si="94"/>
        <v>TJ202512241717000169428</v>
      </c>
      <c r="AR333" s="13">
        <f t="shared" si="95"/>
        <v>0.06</v>
      </c>
    </row>
    <row r="334" spans="1:44">
      <c r="A334" s="21" t="s">
        <v>562</v>
      </c>
      <c r="B334" s="12" t="s">
        <v>57</v>
      </c>
      <c r="C334" s="21" t="s">
        <v>54</v>
      </c>
      <c r="D334" s="21" t="s">
        <v>55</v>
      </c>
      <c r="E334" s="21" t="s">
        <v>51</v>
      </c>
      <c r="F334" s="5">
        <f>ROUND(SUMIF([1]开票!$A$2:$A$1750,[1]申请!AQ334,[1]开票!$C$2:$C$1750),2)</f>
        <v>12653.24</v>
      </c>
      <c r="G334" s="5">
        <f>ROUND(SUMIF([1]开票!$A$2:$A$1750,[1]申请!AQ334,[1]开票!$D$2:$D$1750),2)</f>
        <v>0</v>
      </c>
      <c r="H334" s="5">
        <f>ROUND(SUMIF([1]开票!$A$2:$A$1750,[1]申请!AQ334,[1]开票!$E$2:$E$1750),2)</f>
        <v>759.19</v>
      </c>
      <c r="I334" s="5">
        <f t="shared" si="80"/>
        <v>13412.43</v>
      </c>
      <c r="J334" s="12">
        <v>13412.43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>
        <f t="shared" si="81"/>
        <v>13412.43</v>
      </c>
      <c r="AE334" s="13">
        <f t="shared" si="82"/>
        <v>0</v>
      </c>
      <c r="AF334" s="14">
        <f t="shared" si="83"/>
        <v>0</v>
      </c>
      <c r="AG334" s="13">
        <f t="shared" si="84"/>
        <v>759.19</v>
      </c>
      <c r="AH334" s="13">
        <f t="shared" si="85"/>
        <v>53.14</v>
      </c>
      <c r="AI334" s="13">
        <f t="shared" si="86"/>
        <v>22.78</v>
      </c>
      <c r="AJ334" s="13">
        <f t="shared" si="87"/>
        <v>15.18</v>
      </c>
      <c r="AK334" s="13">
        <f t="shared" si="88"/>
        <v>0</v>
      </c>
      <c r="AL334" s="13">
        <f t="shared" si="89"/>
        <v>0</v>
      </c>
      <c r="AM334" s="13">
        <f t="shared" si="90"/>
        <v>759.19</v>
      </c>
      <c r="AN334" s="13">
        <f t="shared" si="91"/>
        <v>53.14</v>
      </c>
      <c r="AO334" s="13">
        <f t="shared" si="92"/>
        <v>22.78</v>
      </c>
      <c r="AP334" s="13">
        <f t="shared" si="93"/>
        <v>15.18</v>
      </c>
      <c r="AQ334" s="13" t="str">
        <f t="shared" si="94"/>
        <v>TJ202512241720000152306</v>
      </c>
      <c r="AR334" s="13">
        <f t="shared" si="95"/>
        <v>0.06</v>
      </c>
    </row>
    <row r="335" ht="15" spans="1:44">
      <c r="A335" s="21" t="s">
        <v>563</v>
      </c>
      <c r="B335" s="12" t="s">
        <v>57</v>
      </c>
      <c r="C335" s="12" t="s">
        <v>54</v>
      </c>
      <c r="D335" s="12" t="s">
        <v>55</v>
      </c>
      <c r="E335" s="12" t="s">
        <v>51</v>
      </c>
      <c r="F335" s="5">
        <f>ROUND(SUMIF([1]开票!$A$2:$A$1750,[1]申请!AQ335,[1]开票!$C$2:$C$1750),2)</f>
        <v>218084.65</v>
      </c>
      <c r="G335" s="5">
        <f>ROUND(SUMIF([1]开票!$A$2:$A$1750,[1]申请!AQ335,[1]开票!$D$2:$D$1750),2)</f>
        <v>0</v>
      </c>
      <c r="H335" s="5">
        <f>ROUND(SUMIF([1]开票!$A$2:$A$1750,[1]申请!AQ335,[1]开票!$E$2:$E$1750),2)</f>
        <v>13085.08</v>
      </c>
      <c r="I335" s="5">
        <f t="shared" si="80"/>
        <v>231169.73</v>
      </c>
      <c r="J335" s="12">
        <v>231169.73</v>
      </c>
      <c r="K335" s="32"/>
      <c r="L335" s="12"/>
      <c r="M335" s="12"/>
      <c r="N335" s="12"/>
      <c r="O335" s="12"/>
      <c r="P335" s="12"/>
      <c r="Q335" s="12"/>
      <c r="R335" s="12"/>
      <c r="S335" s="20"/>
      <c r="T335" s="32"/>
      <c r="U335" s="12"/>
      <c r="V335" s="12"/>
      <c r="W335" s="12"/>
      <c r="X335" s="12"/>
      <c r="Y335" s="12"/>
      <c r="Z335" s="12"/>
      <c r="AA335" s="12"/>
      <c r="AB335" s="12"/>
      <c r="AC335" s="12"/>
      <c r="AD335" s="12">
        <f t="shared" si="81"/>
        <v>231169.73</v>
      </c>
      <c r="AE335" s="13">
        <f t="shared" si="82"/>
        <v>0</v>
      </c>
      <c r="AF335" s="14">
        <f t="shared" si="83"/>
        <v>0</v>
      </c>
      <c r="AG335" s="13">
        <f t="shared" si="84"/>
        <v>13085.08</v>
      </c>
      <c r="AH335" s="13">
        <f t="shared" si="85"/>
        <v>915.96</v>
      </c>
      <c r="AI335" s="13">
        <f t="shared" si="86"/>
        <v>392.55</v>
      </c>
      <c r="AJ335" s="13">
        <f t="shared" si="87"/>
        <v>261.7</v>
      </c>
      <c r="AK335" s="13">
        <f t="shared" si="88"/>
        <v>0</v>
      </c>
      <c r="AL335" s="13">
        <f t="shared" si="89"/>
        <v>0</v>
      </c>
      <c r="AM335" s="13">
        <f t="shared" si="90"/>
        <v>13085.08</v>
      </c>
      <c r="AN335" s="13">
        <f t="shared" si="91"/>
        <v>915.96</v>
      </c>
      <c r="AO335" s="13">
        <f t="shared" si="92"/>
        <v>392.55</v>
      </c>
      <c r="AP335" s="13">
        <f t="shared" si="93"/>
        <v>261.7</v>
      </c>
      <c r="AQ335" s="13" t="str">
        <f t="shared" si="94"/>
        <v>TJ202512241722000277573</v>
      </c>
      <c r="AR335" s="13">
        <f t="shared" si="95"/>
        <v>0.06</v>
      </c>
    </row>
    <row r="336" ht="15" spans="1:44">
      <c r="A336" s="21" t="s">
        <v>564</v>
      </c>
      <c r="B336" s="12" t="s">
        <v>57</v>
      </c>
      <c r="C336" s="12" t="s">
        <v>54</v>
      </c>
      <c r="D336" s="12" t="s">
        <v>55</v>
      </c>
      <c r="E336" s="12" t="s">
        <v>51</v>
      </c>
      <c r="F336" s="5">
        <f>ROUND(SUMIF([1]开票!$A$2:$A$1750,[1]申请!AQ336,[1]开票!$C$2:$C$1750),2)</f>
        <v>26091.95</v>
      </c>
      <c r="G336" s="5">
        <f>ROUND(SUMIF([1]开票!$A$2:$A$1750,[1]申请!AQ336,[1]开票!$D$2:$D$1750),2)</f>
        <v>0</v>
      </c>
      <c r="H336" s="5">
        <f>ROUND(SUMIF([1]开票!$A$2:$A$1750,[1]申请!AQ336,[1]开票!$E$2:$E$1750),2)</f>
        <v>1565.52</v>
      </c>
      <c r="I336" s="5">
        <f t="shared" si="80"/>
        <v>27657.47</v>
      </c>
      <c r="J336" s="12">
        <v>27657.47</v>
      </c>
      <c r="K336" s="45"/>
      <c r="L336" s="12"/>
      <c r="M336" s="12"/>
      <c r="N336" s="12"/>
      <c r="O336" s="12"/>
      <c r="P336" s="12"/>
      <c r="Q336" s="12"/>
      <c r="R336" s="12"/>
      <c r="S336" s="46"/>
      <c r="T336" s="45"/>
      <c r="U336" s="12"/>
      <c r="V336" s="12"/>
      <c r="W336" s="12"/>
      <c r="X336" s="12"/>
      <c r="Y336" s="12"/>
      <c r="Z336" s="12"/>
      <c r="AA336" s="12"/>
      <c r="AB336" s="12"/>
      <c r="AC336" s="12"/>
      <c r="AD336" s="12">
        <f t="shared" si="81"/>
        <v>27657.47</v>
      </c>
      <c r="AE336" s="21">
        <f t="shared" si="82"/>
        <v>0</v>
      </c>
      <c r="AF336" s="22">
        <f t="shared" si="83"/>
        <v>0</v>
      </c>
      <c r="AG336" s="21">
        <f t="shared" si="84"/>
        <v>1565.52</v>
      </c>
      <c r="AH336" s="21">
        <f t="shared" si="85"/>
        <v>109.59</v>
      </c>
      <c r="AI336" s="21">
        <f t="shared" si="86"/>
        <v>46.97</v>
      </c>
      <c r="AJ336" s="21">
        <f t="shared" si="87"/>
        <v>31.31</v>
      </c>
      <c r="AK336" s="21">
        <f t="shared" si="88"/>
        <v>0</v>
      </c>
      <c r="AL336" s="21">
        <f t="shared" si="89"/>
        <v>0</v>
      </c>
      <c r="AM336" s="21">
        <f t="shared" si="90"/>
        <v>1565.52</v>
      </c>
      <c r="AN336" s="21">
        <f t="shared" si="91"/>
        <v>109.59</v>
      </c>
      <c r="AO336" s="21">
        <f t="shared" si="92"/>
        <v>46.97</v>
      </c>
      <c r="AP336" s="21">
        <f t="shared" si="93"/>
        <v>31.31</v>
      </c>
      <c r="AQ336" s="21" t="str">
        <f t="shared" si="94"/>
        <v>TJ202512241723000490206</v>
      </c>
      <c r="AR336" s="21">
        <f t="shared" si="95"/>
        <v>0.06</v>
      </c>
    </row>
    <row r="337" ht="15" spans="1:44">
      <c r="A337" s="21" t="s">
        <v>565</v>
      </c>
      <c r="B337" s="12" t="s">
        <v>57</v>
      </c>
      <c r="C337" s="12" t="s">
        <v>54</v>
      </c>
      <c r="D337" s="12" t="s">
        <v>55</v>
      </c>
      <c r="E337" s="12" t="s">
        <v>51</v>
      </c>
      <c r="F337" s="5">
        <f>ROUND(SUMIF([1]开票!$A$2:$A$1750,[1]申请!AQ337,[1]开票!$C$2:$C$1750),2)</f>
        <v>10213.73</v>
      </c>
      <c r="G337" s="5">
        <f>ROUND(SUMIF([1]开票!$A$2:$A$1750,[1]申请!AQ337,[1]开票!$D$2:$D$1750),2)</f>
        <v>0</v>
      </c>
      <c r="H337" s="5">
        <f>ROUND(SUMIF([1]开票!$A$2:$A$1750,[1]申请!AQ337,[1]开票!$E$2:$E$1750),2)</f>
        <v>612.82</v>
      </c>
      <c r="I337" s="5">
        <f t="shared" si="80"/>
        <v>10826.55</v>
      </c>
      <c r="J337" s="12">
        <v>10826.55</v>
      </c>
      <c r="K337" s="32"/>
      <c r="L337" s="12"/>
      <c r="M337" s="12"/>
      <c r="N337" s="12"/>
      <c r="O337" s="12"/>
      <c r="P337" s="12"/>
      <c r="Q337" s="12"/>
      <c r="R337" s="12"/>
      <c r="S337" s="20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>
        <f t="shared" si="81"/>
        <v>10826.55</v>
      </c>
      <c r="AE337" s="13">
        <f t="shared" si="82"/>
        <v>0</v>
      </c>
      <c r="AF337" s="14">
        <f t="shared" si="83"/>
        <v>0</v>
      </c>
      <c r="AG337" s="13">
        <f t="shared" si="84"/>
        <v>612.82</v>
      </c>
      <c r="AH337" s="13">
        <f t="shared" si="85"/>
        <v>42.9</v>
      </c>
      <c r="AI337" s="13">
        <f t="shared" si="86"/>
        <v>18.38</v>
      </c>
      <c r="AJ337" s="13">
        <f t="shared" si="87"/>
        <v>12.26</v>
      </c>
      <c r="AK337" s="13">
        <f t="shared" si="88"/>
        <v>0</v>
      </c>
      <c r="AL337" s="13">
        <f t="shared" si="89"/>
        <v>0</v>
      </c>
      <c r="AM337" s="13">
        <f t="shared" si="90"/>
        <v>612.82</v>
      </c>
      <c r="AN337" s="13">
        <f t="shared" si="91"/>
        <v>42.9</v>
      </c>
      <c r="AO337" s="13">
        <f t="shared" si="92"/>
        <v>18.38</v>
      </c>
      <c r="AP337" s="13">
        <f t="shared" si="93"/>
        <v>12.26</v>
      </c>
      <c r="AQ337" s="13" t="str">
        <f t="shared" si="94"/>
        <v>TJ202512241725000242103</v>
      </c>
      <c r="AR337" s="13">
        <f t="shared" si="95"/>
        <v>0.06</v>
      </c>
    </row>
    <row r="338" ht="15" spans="1:44">
      <c r="A338" s="21" t="s">
        <v>566</v>
      </c>
      <c r="B338" s="12" t="s">
        <v>57</v>
      </c>
      <c r="C338" s="12" t="s">
        <v>54</v>
      </c>
      <c r="D338" s="12" t="s">
        <v>55</v>
      </c>
      <c r="E338" s="12" t="s">
        <v>51</v>
      </c>
      <c r="F338" s="5">
        <f>ROUND(SUMIF([1]开票!$A$2:$A$1750,[1]申请!AQ338,[1]开票!$C$2:$C$1750),2)</f>
        <v>82.43</v>
      </c>
      <c r="G338" s="5">
        <f>ROUND(SUMIF([1]开票!$A$2:$A$1750,[1]申请!AQ338,[1]开票!$D$2:$D$1750),2)</f>
        <v>0</v>
      </c>
      <c r="H338" s="5">
        <f>ROUND(SUMIF([1]开票!$A$2:$A$1750,[1]申请!AQ338,[1]开票!$E$2:$E$1750),2)</f>
        <v>4.95</v>
      </c>
      <c r="I338" s="5">
        <f t="shared" si="80"/>
        <v>87.38</v>
      </c>
      <c r="J338" s="12">
        <v>87.38</v>
      </c>
      <c r="K338" s="32"/>
      <c r="L338" s="12"/>
      <c r="M338" s="12"/>
      <c r="N338" s="12"/>
      <c r="O338" s="12"/>
      <c r="P338" s="12"/>
      <c r="Q338" s="12"/>
      <c r="R338" s="12"/>
      <c r="S338" s="12"/>
      <c r="T338" s="17"/>
      <c r="U338" s="20"/>
      <c r="V338" s="12"/>
      <c r="W338" s="12"/>
      <c r="X338" s="12"/>
      <c r="Y338" s="12"/>
      <c r="Z338" s="12"/>
      <c r="AA338" s="12"/>
      <c r="AB338" s="12"/>
      <c r="AC338" s="12"/>
      <c r="AD338" s="12">
        <f t="shared" si="81"/>
        <v>87.38</v>
      </c>
      <c r="AE338" s="13">
        <f t="shared" si="82"/>
        <v>0</v>
      </c>
      <c r="AF338" s="14">
        <f t="shared" si="83"/>
        <v>0</v>
      </c>
      <c r="AG338" s="13">
        <f t="shared" si="84"/>
        <v>4.95</v>
      </c>
      <c r="AH338" s="13">
        <f t="shared" si="85"/>
        <v>0.35</v>
      </c>
      <c r="AI338" s="13">
        <f t="shared" si="86"/>
        <v>0.15</v>
      </c>
      <c r="AJ338" s="13">
        <f t="shared" si="87"/>
        <v>0.1</v>
      </c>
      <c r="AK338" s="13">
        <f t="shared" si="88"/>
        <v>0</v>
      </c>
      <c r="AL338" s="13">
        <f t="shared" si="89"/>
        <v>0</v>
      </c>
      <c r="AM338" s="13">
        <f t="shared" si="90"/>
        <v>4.95</v>
      </c>
      <c r="AN338" s="13">
        <f t="shared" si="91"/>
        <v>0.35</v>
      </c>
      <c r="AO338" s="13">
        <f t="shared" si="92"/>
        <v>0.15</v>
      </c>
      <c r="AP338" s="13">
        <f t="shared" si="93"/>
        <v>0.1</v>
      </c>
      <c r="AQ338" s="13" t="str">
        <f t="shared" si="94"/>
        <v>TJ202512241727000511827</v>
      </c>
      <c r="AR338" s="13">
        <f t="shared" si="95"/>
        <v>0.06</v>
      </c>
    </row>
    <row r="339" ht="15" spans="1:44">
      <c r="A339" s="21" t="s">
        <v>567</v>
      </c>
      <c r="B339" s="12" t="s">
        <v>57</v>
      </c>
      <c r="C339" s="12" t="s">
        <v>54</v>
      </c>
      <c r="D339" s="12" t="s">
        <v>55</v>
      </c>
      <c r="E339" s="12" t="s">
        <v>51</v>
      </c>
      <c r="F339" s="5">
        <f>ROUND(SUMIF([1]开票!$A$2:$A$1750,[1]申请!AQ339,[1]开票!$C$2:$C$1750),2)</f>
        <v>33533.35</v>
      </c>
      <c r="G339" s="5">
        <f>ROUND(SUMIF([1]开票!$A$2:$A$1750,[1]申请!AQ339,[1]开票!$D$2:$D$1750),2)</f>
        <v>0</v>
      </c>
      <c r="H339" s="5">
        <f>ROUND(SUMIF([1]开票!$A$2:$A$1750,[1]申请!AQ339,[1]开票!$E$2:$E$1750),2)</f>
        <v>2012</v>
      </c>
      <c r="I339" s="5">
        <f t="shared" si="80"/>
        <v>35545.35</v>
      </c>
      <c r="J339" s="12">
        <v>35545.35</v>
      </c>
      <c r="K339" s="32"/>
      <c r="L339" s="12"/>
      <c r="M339" s="12"/>
      <c r="N339" s="12"/>
      <c r="O339" s="12"/>
      <c r="P339" s="12"/>
      <c r="Q339" s="12"/>
      <c r="R339" s="12"/>
      <c r="S339" s="20"/>
      <c r="T339" s="20"/>
      <c r="U339" s="12"/>
      <c r="V339" s="12"/>
      <c r="W339" s="12"/>
      <c r="X339" s="12"/>
      <c r="Y339" s="12"/>
      <c r="Z339" s="12"/>
      <c r="AA339" s="12"/>
      <c r="AB339" s="12"/>
      <c r="AC339" s="12"/>
      <c r="AD339" s="12">
        <f t="shared" si="81"/>
        <v>35545.35</v>
      </c>
      <c r="AE339" s="13">
        <f t="shared" si="82"/>
        <v>0</v>
      </c>
      <c r="AF339" s="14">
        <f t="shared" si="83"/>
        <v>0</v>
      </c>
      <c r="AG339" s="13">
        <f t="shared" si="84"/>
        <v>2012</v>
      </c>
      <c r="AH339" s="13">
        <f t="shared" si="85"/>
        <v>140.84</v>
      </c>
      <c r="AI339" s="13">
        <f t="shared" si="86"/>
        <v>60.36</v>
      </c>
      <c r="AJ339" s="13">
        <f t="shared" si="87"/>
        <v>40.24</v>
      </c>
      <c r="AK339" s="13">
        <f t="shared" si="88"/>
        <v>0</v>
      </c>
      <c r="AL339" s="13">
        <f t="shared" si="89"/>
        <v>0</v>
      </c>
      <c r="AM339" s="13">
        <f t="shared" si="90"/>
        <v>2012</v>
      </c>
      <c r="AN339" s="13">
        <f t="shared" si="91"/>
        <v>140.84</v>
      </c>
      <c r="AO339" s="13">
        <f t="shared" si="92"/>
        <v>60.36</v>
      </c>
      <c r="AP339" s="13">
        <f t="shared" si="93"/>
        <v>40.24</v>
      </c>
      <c r="AQ339" s="13" t="str">
        <f t="shared" si="94"/>
        <v>TJ202512241728000205043</v>
      </c>
      <c r="AR339" s="13">
        <f t="shared" si="95"/>
        <v>0.06</v>
      </c>
    </row>
    <row r="340" ht="15" spans="1:44">
      <c r="A340" s="21" t="s">
        <v>568</v>
      </c>
      <c r="B340" s="12" t="s">
        <v>57</v>
      </c>
      <c r="C340" s="12" t="s">
        <v>54</v>
      </c>
      <c r="D340" s="12" t="s">
        <v>55</v>
      </c>
      <c r="E340" s="12" t="s">
        <v>51</v>
      </c>
      <c r="F340" s="5">
        <f>ROUND(SUMIF([1]开票!$A$2:$A$1750,[1]申请!AQ340,[1]开票!$C$2:$C$1750),2)</f>
        <v>12666.22</v>
      </c>
      <c r="G340" s="5">
        <f>ROUND(SUMIF([1]开票!$A$2:$A$1750,[1]申请!AQ340,[1]开票!$D$2:$D$1750),2)</f>
        <v>0</v>
      </c>
      <c r="H340" s="5">
        <f>ROUND(SUMIF([1]开票!$A$2:$A$1750,[1]申请!AQ340,[1]开票!$E$2:$E$1750),2)</f>
        <v>759.97</v>
      </c>
      <c r="I340" s="5">
        <f t="shared" si="80"/>
        <v>13426.19</v>
      </c>
      <c r="J340" s="12">
        <v>13426.19</v>
      </c>
      <c r="K340" s="32"/>
      <c r="L340" s="12"/>
      <c r="M340" s="12"/>
      <c r="N340" s="12"/>
      <c r="O340" s="12"/>
      <c r="P340" s="12"/>
      <c r="Q340" s="12"/>
      <c r="R340" s="12"/>
      <c r="S340" s="3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>
        <f t="shared" si="81"/>
        <v>13426.19</v>
      </c>
      <c r="AE340" s="13">
        <f t="shared" si="82"/>
        <v>0</v>
      </c>
      <c r="AF340" s="14">
        <f t="shared" si="83"/>
        <v>0</v>
      </c>
      <c r="AG340" s="13">
        <f t="shared" si="84"/>
        <v>759.97</v>
      </c>
      <c r="AH340" s="13">
        <f t="shared" si="85"/>
        <v>53.2</v>
      </c>
      <c r="AI340" s="13">
        <f t="shared" si="86"/>
        <v>22.8</v>
      </c>
      <c r="AJ340" s="13">
        <f t="shared" si="87"/>
        <v>15.2</v>
      </c>
      <c r="AK340" s="13">
        <f t="shared" si="88"/>
        <v>0</v>
      </c>
      <c r="AL340" s="13">
        <f t="shared" si="89"/>
        <v>0</v>
      </c>
      <c r="AM340" s="13">
        <f t="shared" si="90"/>
        <v>759.97</v>
      </c>
      <c r="AN340" s="13">
        <f t="shared" si="91"/>
        <v>53.2</v>
      </c>
      <c r="AO340" s="13">
        <f t="shared" si="92"/>
        <v>22.8</v>
      </c>
      <c r="AP340" s="13">
        <f t="shared" si="93"/>
        <v>15.2</v>
      </c>
      <c r="AQ340" s="13" t="str">
        <f t="shared" si="94"/>
        <v>TJ202512241729000282463</v>
      </c>
      <c r="AR340" s="13">
        <f t="shared" si="95"/>
        <v>0.06</v>
      </c>
    </row>
    <row r="341" ht="15" spans="1:44">
      <c r="A341" s="21" t="s">
        <v>569</v>
      </c>
      <c r="B341" s="12" t="s">
        <v>57</v>
      </c>
      <c r="C341" s="12" t="s">
        <v>54</v>
      </c>
      <c r="D341" s="12" t="s">
        <v>55</v>
      </c>
      <c r="E341" s="12" t="s">
        <v>51</v>
      </c>
      <c r="F341" s="5">
        <f>ROUND(SUMIF([1]开票!$A$2:$A$1750,[1]申请!AQ341,[1]开票!$C$2:$C$1750),2)</f>
        <v>21285.63</v>
      </c>
      <c r="G341" s="5">
        <f>ROUND(SUMIF([1]开票!$A$2:$A$1750,[1]申请!AQ341,[1]开票!$D$2:$D$1750),2)</f>
        <v>0</v>
      </c>
      <c r="H341" s="5">
        <f>ROUND(SUMIF([1]开票!$A$2:$A$1750,[1]申请!AQ341,[1]开票!$E$2:$E$1750),2)</f>
        <v>1277.14</v>
      </c>
      <c r="I341" s="5">
        <f t="shared" si="80"/>
        <v>22562.77</v>
      </c>
      <c r="J341" s="12">
        <v>22562.77</v>
      </c>
      <c r="K341" s="32"/>
      <c r="L341" s="12"/>
      <c r="M341" s="12"/>
      <c r="N341" s="12"/>
      <c r="O341" s="12"/>
      <c r="P341" s="12"/>
      <c r="Q341" s="12"/>
      <c r="R341" s="12"/>
      <c r="S341" s="12"/>
      <c r="T341" s="12"/>
      <c r="U341" s="20"/>
      <c r="V341" s="12"/>
      <c r="W341" s="12"/>
      <c r="X341" s="12"/>
      <c r="Y341" s="12"/>
      <c r="Z341" s="12"/>
      <c r="AA341" s="12"/>
      <c r="AB341" s="12"/>
      <c r="AC341" s="12"/>
      <c r="AD341" s="12">
        <f t="shared" si="81"/>
        <v>22562.77</v>
      </c>
      <c r="AE341" s="13">
        <f t="shared" si="82"/>
        <v>0</v>
      </c>
      <c r="AF341" s="14">
        <f t="shared" si="83"/>
        <v>0</v>
      </c>
      <c r="AG341" s="13">
        <f t="shared" si="84"/>
        <v>1277.14</v>
      </c>
      <c r="AH341" s="13">
        <f t="shared" si="85"/>
        <v>89.4</v>
      </c>
      <c r="AI341" s="13">
        <f t="shared" si="86"/>
        <v>38.31</v>
      </c>
      <c r="AJ341" s="13">
        <f t="shared" si="87"/>
        <v>25.54</v>
      </c>
      <c r="AK341" s="13">
        <f t="shared" si="88"/>
        <v>0</v>
      </c>
      <c r="AL341" s="13">
        <f t="shared" si="89"/>
        <v>0</v>
      </c>
      <c r="AM341" s="13">
        <f t="shared" si="90"/>
        <v>1277.14</v>
      </c>
      <c r="AN341" s="13">
        <f t="shared" si="91"/>
        <v>89.4</v>
      </c>
      <c r="AO341" s="13">
        <f t="shared" si="92"/>
        <v>38.31</v>
      </c>
      <c r="AP341" s="13">
        <f t="shared" si="93"/>
        <v>25.54</v>
      </c>
      <c r="AQ341" s="13" t="str">
        <f t="shared" si="94"/>
        <v>TJ202512241730000433529</v>
      </c>
      <c r="AR341" s="13">
        <f t="shared" si="95"/>
        <v>0.06</v>
      </c>
    </row>
    <row r="342" ht="15" spans="1:44">
      <c r="A342" s="21" t="s">
        <v>570</v>
      </c>
      <c r="B342" s="12" t="s">
        <v>57</v>
      </c>
      <c r="C342" s="12" t="s">
        <v>54</v>
      </c>
      <c r="D342" s="12" t="s">
        <v>55</v>
      </c>
      <c r="E342" s="12" t="s">
        <v>51</v>
      </c>
      <c r="F342" s="5">
        <f>ROUND(SUMIF([1]开票!$A$2:$A$1750,[1]申请!AQ342,[1]开票!$C$2:$C$1750),2)</f>
        <v>10626.44</v>
      </c>
      <c r="G342" s="5">
        <f>ROUND(SUMIF([1]开票!$A$2:$A$1750,[1]申请!AQ342,[1]开票!$D$2:$D$1750),2)</f>
        <v>0</v>
      </c>
      <c r="H342" s="5">
        <f>ROUND(SUMIF([1]开票!$A$2:$A$1750,[1]申请!AQ342,[1]开票!$E$2:$E$1750),2)</f>
        <v>637.59</v>
      </c>
      <c r="I342" s="5">
        <f t="shared" si="80"/>
        <v>11264.03</v>
      </c>
      <c r="J342" s="12">
        <v>11264.03</v>
      </c>
      <c r="K342" s="32"/>
      <c r="L342" s="12"/>
      <c r="M342" s="12"/>
      <c r="N342" s="12"/>
      <c r="O342" s="12"/>
      <c r="P342" s="12"/>
      <c r="Q342" s="12"/>
      <c r="R342" s="12"/>
      <c r="S342" s="20"/>
      <c r="T342" s="20"/>
      <c r="U342" s="12"/>
      <c r="V342" s="12"/>
      <c r="W342" s="12"/>
      <c r="X342" s="12"/>
      <c r="Y342" s="12"/>
      <c r="Z342" s="12"/>
      <c r="AA342" s="12"/>
      <c r="AB342" s="12"/>
      <c r="AC342" s="12"/>
      <c r="AD342" s="12">
        <f t="shared" si="81"/>
        <v>11264.03</v>
      </c>
      <c r="AE342" s="13">
        <f t="shared" si="82"/>
        <v>0</v>
      </c>
      <c r="AF342" s="14">
        <f t="shared" si="83"/>
        <v>0</v>
      </c>
      <c r="AG342" s="13">
        <f t="shared" si="84"/>
        <v>637.59</v>
      </c>
      <c r="AH342" s="13">
        <f t="shared" si="85"/>
        <v>44.63</v>
      </c>
      <c r="AI342" s="13">
        <f t="shared" si="86"/>
        <v>19.13</v>
      </c>
      <c r="AJ342" s="13">
        <f t="shared" si="87"/>
        <v>12.75</v>
      </c>
      <c r="AK342" s="13">
        <f t="shared" si="88"/>
        <v>0</v>
      </c>
      <c r="AL342" s="13">
        <f t="shared" si="89"/>
        <v>0</v>
      </c>
      <c r="AM342" s="13">
        <f t="shared" si="90"/>
        <v>637.59</v>
      </c>
      <c r="AN342" s="13">
        <f t="shared" si="91"/>
        <v>44.63</v>
      </c>
      <c r="AO342" s="13">
        <f t="shared" si="92"/>
        <v>19.13</v>
      </c>
      <c r="AP342" s="13">
        <f t="shared" si="93"/>
        <v>12.75</v>
      </c>
      <c r="AQ342" s="13" t="str">
        <f t="shared" si="94"/>
        <v>TJ202512241731000540896</v>
      </c>
      <c r="AR342" s="13">
        <f t="shared" si="95"/>
        <v>0.06</v>
      </c>
    </row>
    <row r="343" ht="15" spans="1:44">
      <c r="A343" s="21" t="s">
        <v>571</v>
      </c>
      <c r="B343" s="12" t="s">
        <v>57</v>
      </c>
      <c r="C343" s="12" t="s">
        <v>54</v>
      </c>
      <c r="D343" s="12" t="s">
        <v>55</v>
      </c>
      <c r="E343" s="12" t="s">
        <v>51</v>
      </c>
      <c r="F343" s="5">
        <f>ROUND(SUMIF([1]开票!$A$2:$A$1750,[1]申请!AQ343,[1]开票!$C$2:$C$1750),2)</f>
        <v>14067.66</v>
      </c>
      <c r="G343" s="5">
        <f>ROUND(SUMIF([1]开票!$A$2:$A$1750,[1]申请!AQ343,[1]开票!$D$2:$D$1750),2)</f>
        <v>0</v>
      </c>
      <c r="H343" s="5">
        <f>ROUND(SUMIF([1]开票!$A$2:$A$1750,[1]申请!AQ343,[1]开票!$E$2:$E$1750),2)</f>
        <v>844.06</v>
      </c>
      <c r="I343" s="5">
        <f t="shared" si="80"/>
        <v>14911.72</v>
      </c>
      <c r="J343" s="12">
        <v>14911.72</v>
      </c>
      <c r="K343" s="32"/>
      <c r="L343" s="12"/>
      <c r="M343" s="12"/>
      <c r="N343" s="12"/>
      <c r="O343" s="12"/>
      <c r="P343" s="12"/>
      <c r="Q343" s="12"/>
      <c r="R343" s="12"/>
      <c r="S343" s="20"/>
      <c r="T343" s="20"/>
      <c r="U343" s="12"/>
      <c r="V343" s="12"/>
      <c r="W343" s="12"/>
      <c r="X343" s="12"/>
      <c r="Y343" s="12"/>
      <c r="Z343" s="12"/>
      <c r="AA343" s="12"/>
      <c r="AB343" s="12"/>
      <c r="AC343" s="12"/>
      <c r="AD343" s="12">
        <f t="shared" si="81"/>
        <v>14911.72</v>
      </c>
      <c r="AE343" s="13">
        <f t="shared" si="82"/>
        <v>0</v>
      </c>
      <c r="AF343" s="14">
        <f t="shared" si="83"/>
        <v>0</v>
      </c>
      <c r="AG343" s="13">
        <f t="shared" si="84"/>
        <v>844.06</v>
      </c>
      <c r="AH343" s="13">
        <f t="shared" si="85"/>
        <v>59.08</v>
      </c>
      <c r="AI343" s="13">
        <f t="shared" si="86"/>
        <v>25.32</v>
      </c>
      <c r="AJ343" s="13">
        <f t="shared" si="87"/>
        <v>16.88</v>
      </c>
      <c r="AK343" s="13">
        <f t="shared" si="88"/>
        <v>0</v>
      </c>
      <c r="AL343" s="13">
        <f t="shared" si="89"/>
        <v>0</v>
      </c>
      <c r="AM343" s="13">
        <f t="shared" si="90"/>
        <v>844.06</v>
      </c>
      <c r="AN343" s="13">
        <f t="shared" si="91"/>
        <v>59.08</v>
      </c>
      <c r="AO343" s="13">
        <f t="shared" si="92"/>
        <v>25.32</v>
      </c>
      <c r="AP343" s="13">
        <f t="shared" si="93"/>
        <v>16.88</v>
      </c>
      <c r="AQ343" s="13" t="str">
        <f t="shared" si="94"/>
        <v>TJ202512241733000140380</v>
      </c>
      <c r="AR343" s="13">
        <f t="shared" si="95"/>
        <v>0.06</v>
      </c>
    </row>
    <row r="344" ht="15" spans="1:44">
      <c r="A344" s="21" t="s">
        <v>572</v>
      </c>
      <c r="B344" s="21" t="s">
        <v>57</v>
      </c>
      <c r="C344" s="12" t="s">
        <v>54</v>
      </c>
      <c r="D344" s="12" t="s">
        <v>55</v>
      </c>
      <c r="E344" s="12" t="s">
        <v>51</v>
      </c>
      <c r="F344" s="5">
        <f>ROUND(SUMIF([1]开票!$A$2:$A$1750,[1]申请!AQ344,[1]开票!$C$2:$C$1750),2)</f>
        <v>13399.26</v>
      </c>
      <c r="G344" s="5">
        <f>ROUND(SUMIF([1]开票!$A$2:$A$1750,[1]申请!AQ344,[1]开票!$D$2:$D$1750),2)</f>
        <v>0</v>
      </c>
      <c r="H344" s="5">
        <f>ROUND(SUMIF([1]开票!$A$2:$A$1750,[1]申请!AQ344,[1]开票!$E$2:$E$1750),2)</f>
        <v>803.96</v>
      </c>
      <c r="I344" s="5">
        <f t="shared" si="80"/>
        <v>14203.22</v>
      </c>
      <c r="J344" s="12">
        <v>14203.22</v>
      </c>
      <c r="K344" s="32"/>
      <c r="L344" s="12"/>
      <c r="M344" s="12"/>
      <c r="N344" s="12"/>
      <c r="O344" s="12"/>
      <c r="P344" s="12"/>
      <c r="Q344" s="12"/>
      <c r="R344" s="12"/>
      <c r="S344" s="20"/>
      <c r="T344" s="20"/>
      <c r="U344" s="12"/>
      <c r="V344" s="12"/>
      <c r="W344" s="12"/>
      <c r="X344" s="12"/>
      <c r="Y344" s="12"/>
      <c r="Z344" s="12"/>
      <c r="AA344" s="12"/>
      <c r="AB344" s="12"/>
      <c r="AC344" s="12"/>
      <c r="AD344" s="12">
        <f t="shared" si="81"/>
        <v>14203.22</v>
      </c>
      <c r="AE344" s="13">
        <f t="shared" si="82"/>
        <v>0</v>
      </c>
      <c r="AF344" s="14">
        <f t="shared" si="83"/>
        <v>0</v>
      </c>
      <c r="AG344" s="13">
        <f t="shared" si="84"/>
        <v>803.96</v>
      </c>
      <c r="AH344" s="13">
        <f t="shared" si="85"/>
        <v>56.28</v>
      </c>
      <c r="AI344" s="13">
        <f t="shared" si="86"/>
        <v>24.12</v>
      </c>
      <c r="AJ344" s="13">
        <f t="shared" si="87"/>
        <v>16.08</v>
      </c>
      <c r="AK344" s="13">
        <f t="shared" si="88"/>
        <v>0</v>
      </c>
      <c r="AL344" s="13">
        <f t="shared" si="89"/>
        <v>0</v>
      </c>
      <c r="AM344" s="13">
        <f t="shared" si="90"/>
        <v>803.96</v>
      </c>
      <c r="AN344" s="13">
        <f t="shared" si="91"/>
        <v>56.28</v>
      </c>
      <c r="AO344" s="13">
        <f t="shared" si="92"/>
        <v>24.12</v>
      </c>
      <c r="AP344" s="13">
        <f t="shared" si="93"/>
        <v>16.08</v>
      </c>
      <c r="AQ344" s="13" t="str">
        <f t="shared" si="94"/>
        <v>TJ202512241734000470716</v>
      </c>
      <c r="AR344" s="13">
        <f t="shared" si="95"/>
        <v>0.06</v>
      </c>
    </row>
    <row r="345" ht="15" spans="1:44">
      <c r="A345" s="21" t="s">
        <v>573</v>
      </c>
      <c r="B345" s="21" t="s">
        <v>57</v>
      </c>
      <c r="C345" s="12" t="s">
        <v>54</v>
      </c>
      <c r="D345" s="12" t="s">
        <v>55</v>
      </c>
      <c r="E345" s="12" t="s">
        <v>51</v>
      </c>
      <c r="F345" s="5">
        <f>ROUND(SUMIF([1]开票!$A$2:$A$1750,[1]申请!AQ345,[1]开票!$C$2:$C$1750),2)</f>
        <v>17639.63</v>
      </c>
      <c r="G345" s="5">
        <f>ROUND(SUMIF([1]开票!$A$2:$A$1750,[1]申请!AQ345,[1]开票!$D$2:$D$1750),2)</f>
        <v>0</v>
      </c>
      <c r="H345" s="5">
        <f>ROUND(SUMIF([1]开票!$A$2:$A$1750,[1]申请!AQ345,[1]开票!$E$2:$E$1750),2)</f>
        <v>1058.38</v>
      </c>
      <c r="I345" s="5">
        <f t="shared" si="80"/>
        <v>18698.01</v>
      </c>
      <c r="J345" s="12">
        <v>18698.01</v>
      </c>
      <c r="K345" s="12"/>
      <c r="L345" s="12"/>
      <c r="M345" s="12"/>
      <c r="N345" s="12"/>
      <c r="O345" s="12"/>
      <c r="P345" s="12"/>
      <c r="Q345" s="12"/>
      <c r="R345" s="12"/>
      <c r="S345" s="20"/>
      <c r="T345" s="20"/>
      <c r="U345" s="12"/>
      <c r="V345" s="12"/>
      <c r="W345" s="12"/>
      <c r="X345" s="12"/>
      <c r="Y345" s="12"/>
      <c r="Z345" s="12"/>
      <c r="AA345" s="12"/>
      <c r="AB345" s="12"/>
      <c r="AC345" s="12"/>
      <c r="AD345" s="12">
        <f t="shared" si="81"/>
        <v>18698.01</v>
      </c>
      <c r="AE345" s="13">
        <f t="shared" si="82"/>
        <v>0</v>
      </c>
      <c r="AF345" s="14">
        <f t="shared" si="83"/>
        <v>0</v>
      </c>
      <c r="AG345" s="13">
        <f t="shared" si="84"/>
        <v>1058.38</v>
      </c>
      <c r="AH345" s="13">
        <f t="shared" si="85"/>
        <v>74.09</v>
      </c>
      <c r="AI345" s="13">
        <f t="shared" si="86"/>
        <v>31.75</v>
      </c>
      <c r="AJ345" s="13">
        <f t="shared" si="87"/>
        <v>21.17</v>
      </c>
      <c r="AK345" s="13">
        <f t="shared" si="88"/>
        <v>0</v>
      </c>
      <c r="AL345" s="13">
        <f t="shared" si="89"/>
        <v>0</v>
      </c>
      <c r="AM345" s="13">
        <f t="shared" si="90"/>
        <v>1058.38</v>
      </c>
      <c r="AN345" s="13">
        <f t="shared" si="91"/>
        <v>74.09</v>
      </c>
      <c r="AO345" s="13">
        <f t="shared" si="92"/>
        <v>31.75</v>
      </c>
      <c r="AP345" s="13">
        <f t="shared" si="93"/>
        <v>21.17</v>
      </c>
      <c r="AQ345" s="13" t="str">
        <f t="shared" si="94"/>
        <v>TJ202512241736000089140</v>
      </c>
      <c r="AR345" s="13">
        <f t="shared" si="95"/>
        <v>0.06</v>
      </c>
    </row>
    <row r="346" ht="15" spans="1:44">
      <c r="A346" s="21" t="s">
        <v>574</v>
      </c>
      <c r="B346" s="21" t="s">
        <v>57</v>
      </c>
      <c r="C346" s="12" t="s">
        <v>54</v>
      </c>
      <c r="D346" s="12" t="s">
        <v>55</v>
      </c>
      <c r="E346" s="12" t="s">
        <v>51</v>
      </c>
      <c r="F346" s="5">
        <f>ROUND(SUMIF([1]开票!$A$2:$A$1750,[1]申请!AQ346,[1]开票!$C$2:$C$1750),2)</f>
        <v>17023.98</v>
      </c>
      <c r="G346" s="5">
        <f>ROUND(SUMIF([1]开票!$A$2:$A$1750,[1]申请!AQ346,[1]开票!$D$2:$D$1750),2)</f>
        <v>0</v>
      </c>
      <c r="H346" s="5">
        <f>ROUND(SUMIF([1]开票!$A$2:$A$1750,[1]申请!AQ346,[1]开票!$E$2:$E$1750),2)</f>
        <v>1021.44</v>
      </c>
      <c r="I346" s="5">
        <f t="shared" si="80"/>
        <v>18045.42</v>
      </c>
      <c r="J346" s="12">
        <v>18045.42</v>
      </c>
      <c r="K346" s="15"/>
      <c r="L346" s="12"/>
      <c r="M346" s="12"/>
      <c r="N346" s="12"/>
      <c r="O346" s="12"/>
      <c r="P346" s="12"/>
      <c r="Q346" s="12"/>
      <c r="R346" s="12"/>
      <c r="S346" s="20"/>
      <c r="T346" s="15"/>
      <c r="U346" s="15"/>
      <c r="V346" s="15"/>
      <c r="W346" s="12"/>
      <c r="X346" s="12"/>
      <c r="Y346" s="12"/>
      <c r="Z346" s="12"/>
      <c r="AA346" s="12"/>
      <c r="AB346" s="12"/>
      <c r="AC346" s="12"/>
      <c r="AD346" s="12">
        <f t="shared" si="81"/>
        <v>18045.42</v>
      </c>
      <c r="AE346" s="13">
        <f t="shared" si="82"/>
        <v>0</v>
      </c>
      <c r="AF346" s="14">
        <f t="shared" si="83"/>
        <v>0</v>
      </c>
      <c r="AG346" s="13">
        <f t="shared" si="84"/>
        <v>1021.44</v>
      </c>
      <c r="AH346" s="13">
        <f t="shared" si="85"/>
        <v>71.5</v>
      </c>
      <c r="AI346" s="13">
        <f t="shared" si="86"/>
        <v>30.64</v>
      </c>
      <c r="AJ346" s="13">
        <f t="shared" si="87"/>
        <v>20.43</v>
      </c>
      <c r="AK346" s="13">
        <f t="shared" si="88"/>
        <v>0</v>
      </c>
      <c r="AL346" s="13">
        <f t="shared" si="89"/>
        <v>0</v>
      </c>
      <c r="AM346" s="13">
        <f t="shared" si="90"/>
        <v>1021.44</v>
      </c>
      <c r="AN346" s="13">
        <f t="shared" si="91"/>
        <v>71.5</v>
      </c>
      <c r="AO346" s="13">
        <f t="shared" si="92"/>
        <v>30.64</v>
      </c>
      <c r="AP346" s="13">
        <f t="shared" si="93"/>
        <v>20.43</v>
      </c>
      <c r="AQ346" s="13" t="str">
        <f t="shared" si="94"/>
        <v>TJ202512241737000249893</v>
      </c>
      <c r="AR346" s="13">
        <f t="shared" si="95"/>
        <v>0.06</v>
      </c>
    </row>
    <row r="347" ht="15" spans="1:44">
      <c r="A347" s="21" t="s">
        <v>575</v>
      </c>
      <c r="B347" s="21" t="s">
        <v>576</v>
      </c>
      <c r="C347" s="12" t="s">
        <v>54</v>
      </c>
      <c r="D347" s="12" t="s">
        <v>55</v>
      </c>
      <c r="E347" s="12" t="s">
        <v>51</v>
      </c>
      <c r="F347" s="5">
        <f>ROUND(SUMIF([1]开票!$A$2:$A$1750,[1]申请!AQ347,[1]开票!$C$2:$C$1750),2)</f>
        <v>29753.9</v>
      </c>
      <c r="G347" s="5">
        <f>ROUND(SUMIF([1]开票!$A$2:$A$1750,[1]申请!AQ347,[1]开票!$D$2:$D$1750),2)</f>
        <v>0</v>
      </c>
      <c r="H347" s="5">
        <f>ROUND(SUMIF([1]开票!$A$2:$A$1750,[1]申请!AQ347,[1]开票!$E$2:$E$1750),2)</f>
        <v>1785.23</v>
      </c>
      <c r="I347" s="5">
        <f t="shared" si="80"/>
        <v>31539.13</v>
      </c>
      <c r="J347" s="12"/>
      <c r="K347" s="12"/>
      <c r="L347" s="12"/>
      <c r="M347" s="12"/>
      <c r="N347" s="12">
        <v>31539.13</v>
      </c>
      <c r="O347" s="12"/>
      <c r="P347" s="12"/>
      <c r="Q347" s="12"/>
      <c r="R347" s="12"/>
      <c r="S347" s="20"/>
      <c r="T347" s="32"/>
      <c r="U347" s="12"/>
      <c r="V347" s="12"/>
      <c r="W347" s="12"/>
      <c r="X347" s="12"/>
      <c r="Y347" s="12"/>
      <c r="Z347" s="12"/>
      <c r="AA347" s="12"/>
      <c r="AB347" s="12"/>
      <c r="AC347" s="12"/>
      <c r="AD347" s="12">
        <f t="shared" si="81"/>
        <v>31539.13</v>
      </c>
      <c r="AE347" s="13">
        <f t="shared" si="82"/>
        <v>0</v>
      </c>
      <c r="AF347" s="14">
        <f t="shared" si="83"/>
        <v>0</v>
      </c>
      <c r="AG347" s="13">
        <f t="shared" si="84"/>
        <v>1785.23</v>
      </c>
      <c r="AH347" s="13">
        <f t="shared" si="85"/>
        <v>124.97</v>
      </c>
      <c r="AI347" s="13">
        <f t="shared" si="86"/>
        <v>53.56</v>
      </c>
      <c r="AJ347" s="13">
        <f t="shared" si="87"/>
        <v>35.7</v>
      </c>
      <c r="AK347" s="13">
        <f t="shared" si="88"/>
        <v>0</v>
      </c>
      <c r="AL347" s="13">
        <f t="shared" si="89"/>
        <v>0</v>
      </c>
      <c r="AM347" s="13">
        <f t="shared" si="90"/>
        <v>1785.23</v>
      </c>
      <c r="AN347" s="13">
        <f t="shared" si="91"/>
        <v>124.97</v>
      </c>
      <c r="AO347" s="13">
        <f t="shared" si="92"/>
        <v>53.56</v>
      </c>
      <c r="AP347" s="13">
        <f t="shared" si="93"/>
        <v>35.7</v>
      </c>
      <c r="AQ347" s="13" t="str">
        <f t="shared" si="94"/>
        <v>TJ202512251141000326780</v>
      </c>
      <c r="AR347" s="13">
        <f t="shared" si="95"/>
        <v>0.06</v>
      </c>
    </row>
    <row r="348" spans="1:44">
      <c r="A348" s="21" t="s">
        <v>577</v>
      </c>
      <c r="B348" s="21" t="s">
        <v>531</v>
      </c>
      <c r="C348" s="12" t="s">
        <v>54</v>
      </c>
      <c r="D348" s="12" t="s">
        <v>55</v>
      </c>
      <c r="E348" s="12" t="s">
        <v>51</v>
      </c>
      <c r="F348" s="5">
        <f>ROUND(SUMIF([1]开票!$A$2:$A$1750,[1]申请!AQ348,[1]开票!$C$2:$C$1750),2)</f>
        <v>107648.66</v>
      </c>
      <c r="G348" s="5">
        <f>ROUND(SUMIF([1]开票!$A$2:$A$1750,[1]申请!AQ348,[1]开票!$D$2:$D$1750),2)</f>
        <v>0</v>
      </c>
      <c r="H348" s="5">
        <f>ROUND(SUMIF([1]开票!$A$2:$A$1750,[1]申请!AQ348,[1]开票!$E$2:$E$1750),2)</f>
        <v>6458.92</v>
      </c>
      <c r="I348" s="5">
        <f t="shared" si="80"/>
        <v>114107.58</v>
      </c>
      <c r="J348" s="12"/>
      <c r="K348" s="15"/>
      <c r="L348" s="12">
        <v>114107.58</v>
      </c>
      <c r="M348" s="12"/>
      <c r="N348" s="12"/>
      <c r="O348" s="12"/>
      <c r="P348" s="12"/>
      <c r="Q348" s="12"/>
      <c r="R348" s="12"/>
      <c r="S348" s="12"/>
      <c r="T348" s="12"/>
      <c r="U348" s="15"/>
      <c r="V348" s="12"/>
      <c r="W348" s="12"/>
      <c r="X348" s="12"/>
      <c r="Y348" s="12"/>
      <c r="Z348" s="12"/>
      <c r="AA348" s="12"/>
      <c r="AB348" s="12"/>
      <c r="AC348" s="12"/>
      <c r="AD348" s="12">
        <f t="shared" si="81"/>
        <v>114107.58</v>
      </c>
      <c r="AE348" s="13">
        <f t="shared" si="82"/>
        <v>0</v>
      </c>
      <c r="AF348" s="14">
        <f t="shared" si="83"/>
        <v>0</v>
      </c>
      <c r="AG348" s="13">
        <f t="shared" si="84"/>
        <v>6458.92</v>
      </c>
      <c r="AH348" s="13">
        <f t="shared" si="85"/>
        <v>452.12</v>
      </c>
      <c r="AI348" s="13">
        <f t="shared" si="86"/>
        <v>193.77</v>
      </c>
      <c r="AJ348" s="13">
        <f t="shared" si="87"/>
        <v>129.18</v>
      </c>
      <c r="AK348" s="13">
        <f t="shared" si="88"/>
        <v>0</v>
      </c>
      <c r="AL348" s="13">
        <f t="shared" si="89"/>
        <v>0</v>
      </c>
      <c r="AM348" s="13">
        <f t="shared" si="90"/>
        <v>6458.92</v>
      </c>
      <c r="AN348" s="13">
        <f t="shared" si="91"/>
        <v>452.12</v>
      </c>
      <c r="AO348" s="13">
        <f t="shared" si="92"/>
        <v>193.77</v>
      </c>
      <c r="AP348" s="13">
        <f t="shared" si="93"/>
        <v>129.18</v>
      </c>
      <c r="AQ348" s="13" t="str">
        <f t="shared" si="94"/>
        <v>TJ202512251145000574717</v>
      </c>
      <c r="AR348" s="13">
        <f t="shared" si="95"/>
        <v>0.06</v>
      </c>
    </row>
    <row r="349" spans="1:44">
      <c r="A349" s="21" t="s">
        <v>578</v>
      </c>
      <c r="B349" s="21" t="s">
        <v>57</v>
      </c>
      <c r="C349" s="12" t="s">
        <v>54</v>
      </c>
      <c r="D349" s="12" t="s">
        <v>55</v>
      </c>
      <c r="E349" s="12" t="s">
        <v>51</v>
      </c>
      <c r="F349" s="5">
        <f>ROUND(SUMIF([1]开票!$A$2:$A$1750,[1]申请!AQ349,[1]开票!$C$2:$C$1750),2)</f>
        <v>631978.57</v>
      </c>
      <c r="G349" s="5">
        <f>ROUND(SUMIF([1]开票!$A$2:$A$1750,[1]申请!AQ349,[1]开票!$D$2:$D$1750),2)</f>
        <v>0</v>
      </c>
      <c r="H349" s="5">
        <f>ROUND(SUMIF([1]开票!$A$2:$A$1750,[1]申请!AQ349,[1]开票!$E$2:$E$1750),2)</f>
        <v>37918.71</v>
      </c>
      <c r="I349" s="5">
        <f t="shared" si="80"/>
        <v>669897.28</v>
      </c>
      <c r="J349" s="12">
        <v>669897.28</v>
      </c>
      <c r="K349" s="15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>
        <f t="shared" si="81"/>
        <v>669897.28</v>
      </c>
      <c r="AE349" s="13">
        <f t="shared" si="82"/>
        <v>0</v>
      </c>
      <c r="AF349" s="14">
        <f t="shared" si="83"/>
        <v>0</v>
      </c>
      <c r="AG349" s="13">
        <f t="shared" si="84"/>
        <v>37918.71</v>
      </c>
      <c r="AH349" s="13">
        <f t="shared" si="85"/>
        <v>2654.31</v>
      </c>
      <c r="AI349" s="13">
        <f t="shared" si="86"/>
        <v>1137.56</v>
      </c>
      <c r="AJ349" s="13">
        <f t="shared" si="87"/>
        <v>758.37</v>
      </c>
      <c r="AK349" s="13">
        <f t="shared" si="88"/>
        <v>0</v>
      </c>
      <c r="AL349" s="13">
        <f t="shared" si="89"/>
        <v>0</v>
      </c>
      <c r="AM349" s="13">
        <f t="shared" si="90"/>
        <v>37918.71</v>
      </c>
      <c r="AN349" s="13">
        <f t="shared" si="91"/>
        <v>2654.31</v>
      </c>
      <c r="AO349" s="13">
        <f t="shared" si="92"/>
        <v>1137.56</v>
      </c>
      <c r="AP349" s="13">
        <f t="shared" si="93"/>
        <v>758.37</v>
      </c>
      <c r="AQ349" s="13" t="str">
        <f t="shared" si="94"/>
        <v>TJ202512251148000521915</v>
      </c>
      <c r="AR349" s="13">
        <f t="shared" si="95"/>
        <v>0.06</v>
      </c>
    </row>
    <row r="350" spans="1:44">
      <c r="A350" s="21" t="s">
        <v>579</v>
      </c>
      <c r="B350" s="21" t="s">
        <v>398</v>
      </c>
      <c r="C350" s="12" t="s">
        <v>54</v>
      </c>
      <c r="D350" s="12" t="s">
        <v>55</v>
      </c>
      <c r="E350" s="12" t="s">
        <v>51</v>
      </c>
      <c r="F350" s="5">
        <f>ROUND(SUMIF([1]开票!$A$2:$A$1750,[1]申请!AQ350,[1]开票!$C$2:$C$1750),2)</f>
        <v>480565.73</v>
      </c>
      <c r="G350" s="5">
        <f>ROUND(SUMIF([1]开票!$A$2:$A$1750,[1]申请!AQ350,[1]开票!$D$2:$D$1750),2)</f>
        <v>0</v>
      </c>
      <c r="H350" s="5">
        <f>ROUND(SUMIF([1]开票!$A$2:$A$1750,[1]申请!AQ350,[1]开票!$E$2:$E$1750),2)</f>
        <v>28833.94</v>
      </c>
      <c r="I350" s="5">
        <f t="shared" si="80"/>
        <v>509399.67</v>
      </c>
      <c r="J350" s="12"/>
      <c r="K350" s="15"/>
      <c r="L350" s="12">
        <v>509399.67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>
        <f t="shared" si="81"/>
        <v>509399.67</v>
      </c>
      <c r="AE350" s="13">
        <f t="shared" si="82"/>
        <v>0</v>
      </c>
      <c r="AF350" s="14">
        <f t="shared" si="83"/>
        <v>0</v>
      </c>
      <c r="AG350" s="13">
        <f t="shared" si="84"/>
        <v>28833.94</v>
      </c>
      <c r="AH350" s="13">
        <f t="shared" si="85"/>
        <v>2018.38</v>
      </c>
      <c r="AI350" s="13">
        <f t="shared" si="86"/>
        <v>865.02</v>
      </c>
      <c r="AJ350" s="13">
        <f t="shared" si="87"/>
        <v>576.68</v>
      </c>
      <c r="AK350" s="13">
        <f t="shared" si="88"/>
        <v>0</v>
      </c>
      <c r="AL350" s="13">
        <f t="shared" si="89"/>
        <v>0</v>
      </c>
      <c r="AM350" s="13">
        <f t="shared" si="90"/>
        <v>28833.94</v>
      </c>
      <c r="AN350" s="13">
        <f t="shared" si="91"/>
        <v>2018.38</v>
      </c>
      <c r="AO350" s="13">
        <f t="shared" si="92"/>
        <v>865.02</v>
      </c>
      <c r="AP350" s="13">
        <f t="shared" si="93"/>
        <v>576.68</v>
      </c>
      <c r="AQ350" s="13" t="str">
        <f t="shared" si="94"/>
        <v>TJ202512251523000398568</v>
      </c>
      <c r="AR350" s="13">
        <f t="shared" si="95"/>
        <v>0.06</v>
      </c>
    </row>
    <row r="351" spans="1:44">
      <c r="A351" s="21" t="s">
        <v>580</v>
      </c>
      <c r="B351" s="21" t="s">
        <v>581</v>
      </c>
      <c r="C351" s="12" t="s">
        <v>46</v>
      </c>
      <c r="D351" s="12" t="s">
        <v>47</v>
      </c>
      <c r="E351" s="12" t="s">
        <v>48</v>
      </c>
      <c r="F351" s="5">
        <f>ROUND(SUMIF([1]开票!$A$2:$A$1750,[1]申请!AQ351,[1]开票!$C$2:$C$1750),2)</f>
        <v>76.19</v>
      </c>
      <c r="G351" s="5">
        <f>ROUND(SUMIF([1]开票!$A$2:$A$1750,[1]申请!AQ351,[1]开票!$D$2:$D$1750),2)</f>
        <v>6874.07</v>
      </c>
      <c r="H351" s="5">
        <f>ROUND(SUMIF([1]开票!$A$2:$A$1750,[1]申请!AQ351,[1]开票!$E$2:$E$1750),2)</f>
        <v>3.81</v>
      </c>
      <c r="I351" s="5">
        <f t="shared" si="80"/>
        <v>6954.07</v>
      </c>
      <c r="J351" s="12">
        <v>80</v>
      </c>
      <c r="K351" s="15"/>
      <c r="L351" s="12"/>
      <c r="M351" s="12"/>
      <c r="N351" s="12"/>
      <c r="O351" s="12"/>
      <c r="P351" s="12"/>
      <c r="Q351" s="12"/>
      <c r="R351" s="12"/>
      <c r="S351" s="15">
        <v>3216.7</v>
      </c>
      <c r="T351" s="15">
        <v>0</v>
      </c>
      <c r="U351" s="12">
        <v>2709.47</v>
      </c>
      <c r="V351" s="12">
        <v>836</v>
      </c>
      <c r="W351" s="12"/>
      <c r="X351" s="12">
        <v>111.9</v>
      </c>
      <c r="Y351" s="12"/>
      <c r="Z351" s="12"/>
      <c r="AA351" s="12"/>
      <c r="AB351" s="12"/>
      <c r="AC351" s="12"/>
      <c r="AD351" s="12">
        <f t="shared" si="81"/>
        <v>6954.07</v>
      </c>
      <c r="AE351" s="13">
        <f t="shared" si="82"/>
        <v>0</v>
      </c>
      <c r="AF351" s="14">
        <f t="shared" si="83"/>
        <v>0</v>
      </c>
      <c r="AG351" s="13">
        <f t="shared" si="84"/>
        <v>3.81</v>
      </c>
      <c r="AH351" s="13">
        <f t="shared" si="85"/>
        <v>0.27</v>
      </c>
      <c r="AI351" s="13">
        <f t="shared" si="86"/>
        <v>0.11</v>
      </c>
      <c r="AJ351" s="13">
        <f t="shared" si="87"/>
        <v>0.08</v>
      </c>
      <c r="AK351" s="13">
        <f t="shared" si="88"/>
        <v>0</v>
      </c>
      <c r="AL351" s="13">
        <f t="shared" si="89"/>
        <v>0</v>
      </c>
      <c r="AM351" s="13">
        <f t="shared" si="90"/>
        <v>3.81</v>
      </c>
      <c r="AN351" s="13">
        <f t="shared" si="91"/>
        <v>0.27</v>
      </c>
      <c r="AO351" s="13">
        <f t="shared" si="92"/>
        <v>0.11</v>
      </c>
      <c r="AP351" s="13">
        <f t="shared" si="93"/>
        <v>0.08</v>
      </c>
      <c r="AQ351" s="13" t="str">
        <f t="shared" si="94"/>
        <v>TJ202512251552000310600</v>
      </c>
      <c r="AR351" s="13">
        <f t="shared" si="95"/>
        <v>0.05</v>
      </c>
    </row>
    <row r="352" spans="1:44">
      <c r="A352" s="21" t="s">
        <v>582</v>
      </c>
      <c r="B352" s="21" t="s">
        <v>57</v>
      </c>
      <c r="C352" s="12" t="s">
        <v>54</v>
      </c>
      <c r="D352" s="12" t="s">
        <v>55</v>
      </c>
      <c r="E352" s="12" t="s">
        <v>51</v>
      </c>
      <c r="F352" s="5">
        <f>ROUND(SUMIF([1]开票!$A$2:$A$1750,[1]申请!AQ352,[1]开票!$C$2:$C$1750),2)</f>
        <v>146055.82</v>
      </c>
      <c r="G352" s="5">
        <f>ROUND(SUMIF([1]开票!$A$2:$A$1750,[1]申请!AQ352,[1]开票!$D$2:$D$1750),2)</f>
        <v>0</v>
      </c>
      <c r="H352" s="5">
        <f>ROUND(SUMIF([1]开票!$A$2:$A$1750,[1]申请!AQ352,[1]开票!$E$2:$E$1750),2)</f>
        <v>8763.34</v>
      </c>
      <c r="I352" s="5">
        <f t="shared" si="80"/>
        <v>154819.16</v>
      </c>
      <c r="J352" s="12">
        <v>154819.16</v>
      </c>
      <c r="K352" s="15"/>
      <c r="L352" s="12"/>
      <c r="M352" s="12"/>
      <c r="N352" s="12"/>
      <c r="O352" s="12"/>
      <c r="P352" s="12"/>
      <c r="Q352" s="12"/>
      <c r="R352" s="12"/>
      <c r="S352" s="15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>
        <f t="shared" si="81"/>
        <v>154819.16</v>
      </c>
      <c r="AE352" s="13">
        <f t="shared" si="82"/>
        <v>0</v>
      </c>
      <c r="AF352" s="14">
        <f t="shared" si="83"/>
        <v>0</v>
      </c>
      <c r="AG352" s="13">
        <f t="shared" si="84"/>
        <v>8763.34</v>
      </c>
      <c r="AH352" s="13">
        <f t="shared" si="85"/>
        <v>613.43</v>
      </c>
      <c r="AI352" s="13">
        <f t="shared" si="86"/>
        <v>262.9</v>
      </c>
      <c r="AJ352" s="13">
        <f t="shared" si="87"/>
        <v>175.27</v>
      </c>
      <c r="AK352" s="13">
        <f t="shared" si="88"/>
        <v>0</v>
      </c>
      <c r="AL352" s="13">
        <f t="shared" si="89"/>
        <v>0</v>
      </c>
      <c r="AM352" s="13">
        <f t="shared" si="90"/>
        <v>8763.34</v>
      </c>
      <c r="AN352" s="13">
        <f t="shared" si="91"/>
        <v>613.43</v>
      </c>
      <c r="AO352" s="13">
        <f t="shared" si="92"/>
        <v>262.9</v>
      </c>
      <c r="AP352" s="13">
        <f t="shared" si="93"/>
        <v>175.27</v>
      </c>
      <c r="AQ352" s="13" t="str">
        <f t="shared" si="94"/>
        <v>TJ202512251752000030161</v>
      </c>
      <c r="AR352" s="13">
        <f t="shared" si="95"/>
        <v>0.06</v>
      </c>
    </row>
    <row r="353" spans="1:44">
      <c r="A353" s="21" t="s">
        <v>583</v>
      </c>
      <c r="B353" s="21" t="s">
        <v>179</v>
      </c>
      <c r="C353" s="12" t="s">
        <v>54</v>
      </c>
      <c r="D353" s="12" t="s">
        <v>47</v>
      </c>
      <c r="E353" s="12" t="s">
        <v>51</v>
      </c>
      <c r="F353" s="5">
        <f>ROUND(SUMIF([1]开票!$A$2:$A$1750,[1]申请!AQ353,[1]开票!$C$2:$C$1750),2)</f>
        <v>29400.38</v>
      </c>
      <c r="G353" s="5">
        <f>ROUND(SUMIF([1]开票!$A$2:$A$1750,[1]申请!AQ353,[1]开票!$D$2:$D$1750),2)</f>
        <v>0</v>
      </c>
      <c r="H353" s="5">
        <f>ROUND(SUMIF([1]开票!$A$2:$A$1750,[1]申请!AQ353,[1]开票!$E$2:$E$1750),2)</f>
        <v>1764.01</v>
      </c>
      <c r="I353" s="5">
        <f t="shared" si="80"/>
        <v>31164.39</v>
      </c>
      <c r="J353" s="12">
        <v>1819.39</v>
      </c>
      <c r="K353" s="15"/>
      <c r="L353" s="12"/>
      <c r="M353" s="12"/>
      <c r="N353" s="12"/>
      <c r="O353" s="12"/>
      <c r="P353" s="12"/>
      <c r="Q353" s="12"/>
      <c r="R353" s="12"/>
      <c r="S353" s="15">
        <v>29345</v>
      </c>
      <c r="T353" s="15"/>
      <c r="U353" s="12"/>
      <c r="V353" s="12"/>
      <c r="W353" s="12"/>
      <c r="X353" s="12"/>
      <c r="Y353" s="12"/>
      <c r="Z353" s="12"/>
      <c r="AA353" s="12"/>
      <c r="AB353" s="12"/>
      <c r="AC353" s="12"/>
      <c r="AD353" s="12">
        <f t="shared" si="81"/>
        <v>31164.39</v>
      </c>
      <c r="AE353" s="13">
        <f t="shared" si="82"/>
        <v>0</v>
      </c>
      <c r="AF353" s="14">
        <f t="shared" si="83"/>
        <v>0</v>
      </c>
      <c r="AG353" s="13">
        <f t="shared" si="84"/>
        <v>1764.01</v>
      </c>
      <c r="AH353" s="13">
        <f t="shared" si="85"/>
        <v>123.48</v>
      </c>
      <c r="AI353" s="13">
        <f t="shared" si="86"/>
        <v>52.92</v>
      </c>
      <c r="AJ353" s="13">
        <f t="shared" si="87"/>
        <v>35.28</v>
      </c>
      <c r="AK353" s="13">
        <f t="shared" si="88"/>
        <v>0</v>
      </c>
      <c r="AL353" s="13">
        <f t="shared" si="89"/>
        <v>0</v>
      </c>
      <c r="AM353" s="13">
        <f t="shared" si="90"/>
        <v>1764.01</v>
      </c>
      <c r="AN353" s="13">
        <f t="shared" si="91"/>
        <v>123.48</v>
      </c>
      <c r="AO353" s="13">
        <f t="shared" si="92"/>
        <v>52.92</v>
      </c>
      <c r="AP353" s="13">
        <f t="shared" si="93"/>
        <v>35.28</v>
      </c>
      <c r="AQ353" s="13" t="str">
        <f t="shared" si="94"/>
        <v>TJ202512251843000193698</v>
      </c>
      <c r="AR353" s="13">
        <f t="shared" si="95"/>
        <v>0.06</v>
      </c>
    </row>
    <row r="354" spans="1:44">
      <c r="A354" s="21" t="s">
        <v>584</v>
      </c>
      <c r="B354" s="21" t="s">
        <v>57</v>
      </c>
      <c r="C354" s="12" t="s">
        <v>54</v>
      </c>
      <c r="D354" s="12" t="s">
        <v>55</v>
      </c>
      <c r="E354" s="12" t="s">
        <v>51</v>
      </c>
      <c r="F354" s="5">
        <f>ROUND(SUMIF([1]开票!$A$2:$A$1750,[1]申请!AQ354,[1]开票!$C$2:$C$1750),2)</f>
        <v>1749390.08</v>
      </c>
      <c r="G354" s="5">
        <f>ROUND(SUMIF([1]开票!$A$2:$A$1750,[1]申请!AQ354,[1]开票!$D$2:$D$1750),2)</f>
        <v>0</v>
      </c>
      <c r="H354" s="5">
        <f>ROUND(SUMIF([1]开票!$A$2:$A$1750,[1]申请!AQ354,[1]开票!$E$2:$E$1750),2)</f>
        <v>104963.41</v>
      </c>
      <c r="I354" s="5">
        <f t="shared" si="80"/>
        <v>1854353.49</v>
      </c>
      <c r="J354" s="12">
        <v>1854353.49</v>
      </c>
      <c r="K354" s="15"/>
      <c r="L354" s="12"/>
      <c r="M354" s="12"/>
      <c r="N354" s="12"/>
      <c r="O354" s="12"/>
      <c r="P354" s="12"/>
      <c r="Q354" s="12"/>
      <c r="R354" s="12"/>
      <c r="S354" s="15"/>
      <c r="T354" s="15"/>
      <c r="U354" s="12"/>
      <c r="V354" s="12"/>
      <c r="W354" s="12"/>
      <c r="X354" s="12"/>
      <c r="Y354" s="12"/>
      <c r="Z354" s="12"/>
      <c r="AA354" s="12"/>
      <c r="AB354" s="12"/>
      <c r="AC354" s="12"/>
      <c r="AD354" s="12">
        <f t="shared" si="81"/>
        <v>1854353.49</v>
      </c>
      <c r="AE354" s="13">
        <f t="shared" si="82"/>
        <v>0</v>
      </c>
      <c r="AF354" s="14">
        <f t="shared" si="83"/>
        <v>0</v>
      </c>
      <c r="AG354" s="13">
        <f t="shared" si="84"/>
        <v>104963.41</v>
      </c>
      <c r="AH354" s="13">
        <f t="shared" si="85"/>
        <v>7347.44</v>
      </c>
      <c r="AI354" s="13">
        <f t="shared" si="86"/>
        <v>3148.9</v>
      </c>
      <c r="AJ354" s="13">
        <f t="shared" si="87"/>
        <v>2099.27</v>
      </c>
      <c r="AK354" s="13">
        <f t="shared" si="88"/>
        <v>0</v>
      </c>
      <c r="AL354" s="13">
        <f t="shared" si="89"/>
        <v>0</v>
      </c>
      <c r="AM354" s="13">
        <f t="shared" si="90"/>
        <v>104963.41</v>
      </c>
      <c r="AN354" s="13">
        <f t="shared" si="91"/>
        <v>7347.44</v>
      </c>
      <c r="AO354" s="13">
        <f t="shared" si="92"/>
        <v>3148.9</v>
      </c>
      <c r="AP354" s="13">
        <f t="shared" si="93"/>
        <v>2099.27</v>
      </c>
      <c r="AQ354" s="13" t="str">
        <f t="shared" si="94"/>
        <v>TJ202512261220000432954</v>
      </c>
      <c r="AR354" s="13">
        <f t="shared" si="95"/>
        <v>0.06</v>
      </c>
    </row>
    <row r="355" spans="1:44">
      <c r="A355" s="21" t="s">
        <v>585</v>
      </c>
      <c r="B355" s="21" t="s">
        <v>57</v>
      </c>
      <c r="C355" s="12" t="s">
        <v>54</v>
      </c>
      <c r="D355" s="12" t="s">
        <v>55</v>
      </c>
      <c r="E355" s="12" t="s">
        <v>51</v>
      </c>
      <c r="F355" s="5">
        <f>ROUND(SUMIF([1]开票!$A$2:$A$1750,[1]申请!AQ355,[1]开票!$C$2:$C$1750),2)</f>
        <v>487611.33</v>
      </c>
      <c r="G355" s="5">
        <f>ROUND(SUMIF([1]开票!$A$2:$A$1750,[1]申请!AQ355,[1]开票!$D$2:$D$1750),2)</f>
        <v>0</v>
      </c>
      <c r="H355" s="5">
        <f>ROUND(SUMIF([1]开票!$A$2:$A$1750,[1]申请!AQ355,[1]开票!$E$2:$E$1750),2)</f>
        <v>29256.68</v>
      </c>
      <c r="I355" s="5">
        <f t="shared" si="80"/>
        <v>516868.01</v>
      </c>
      <c r="J355" s="12">
        <v>516868.01</v>
      </c>
      <c r="K355" s="15"/>
      <c r="L355" s="12"/>
      <c r="M355" s="12"/>
      <c r="N355" s="12"/>
      <c r="O355" s="12"/>
      <c r="P355" s="12"/>
      <c r="Q355" s="12"/>
      <c r="R355" s="12"/>
      <c r="S355" s="15"/>
      <c r="T355" s="15"/>
      <c r="U355" s="12"/>
      <c r="V355" s="12"/>
      <c r="W355" s="12"/>
      <c r="X355" s="12"/>
      <c r="Y355" s="12"/>
      <c r="Z355" s="12"/>
      <c r="AA355" s="12"/>
      <c r="AB355" s="12"/>
      <c r="AC355" s="12"/>
      <c r="AD355" s="12">
        <f t="shared" si="81"/>
        <v>516868.01</v>
      </c>
      <c r="AE355" s="13">
        <f t="shared" si="82"/>
        <v>0</v>
      </c>
      <c r="AF355" s="14">
        <f t="shared" si="83"/>
        <v>0</v>
      </c>
      <c r="AG355" s="13">
        <f t="shared" si="84"/>
        <v>29256.68</v>
      </c>
      <c r="AH355" s="13">
        <f t="shared" si="85"/>
        <v>2047.97</v>
      </c>
      <c r="AI355" s="13">
        <f t="shared" si="86"/>
        <v>877.7</v>
      </c>
      <c r="AJ355" s="13">
        <f t="shared" si="87"/>
        <v>585.13</v>
      </c>
      <c r="AK355" s="13">
        <f t="shared" si="88"/>
        <v>0</v>
      </c>
      <c r="AL355" s="13">
        <f t="shared" si="89"/>
        <v>0</v>
      </c>
      <c r="AM355" s="13">
        <f t="shared" si="90"/>
        <v>29256.68</v>
      </c>
      <c r="AN355" s="13">
        <f t="shared" si="91"/>
        <v>2047.97</v>
      </c>
      <c r="AO355" s="13">
        <f t="shared" si="92"/>
        <v>877.7</v>
      </c>
      <c r="AP355" s="13">
        <f t="shared" si="93"/>
        <v>585.13</v>
      </c>
      <c r="AQ355" s="13" t="str">
        <f t="shared" si="94"/>
        <v>TJ202512261222000013157</v>
      </c>
      <c r="AR355" s="13">
        <f t="shared" si="95"/>
        <v>0.06</v>
      </c>
    </row>
    <row r="356" spans="1:44">
      <c r="A356" s="21" t="s">
        <v>586</v>
      </c>
      <c r="B356" s="21" t="s">
        <v>57</v>
      </c>
      <c r="C356" s="21" t="s">
        <v>54</v>
      </c>
      <c r="D356" s="21" t="s">
        <v>55</v>
      </c>
      <c r="E356" s="21" t="s">
        <v>51</v>
      </c>
      <c r="F356" s="5">
        <f>ROUND(SUMIF([1]开票!$A$2:$A$1750,[1]申请!AQ356,[1]开票!$C$2:$C$1750),2)</f>
        <v>97935.96</v>
      </c>
      <c r="G356" s="5">
        <f>ROUND(SUMIF([1]开票!$A$2:$A$1750,[1]申请!AQ356,[1]开票!$D$2:$D$1750),2)</f>
        <v>0</v>
      </c>
      <c r="H356" s="5">
        <f>ROUND(SUMIF([1]开票!$A$2:$A$1750,[1]申请!AQ356,[1]开票!$E$2:$E$1750),2)</f>
        <v>5876.16</v>
      </c>
      <c r="I356" s="5">
        <f t="shared" si="80"/>
        <v>103812.12</v>
      </c>
      <c r="J356" s="12">
        <v>103812.12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>
        <f t="shared" si="81"/>
        <v>103812.12</v>
      </c>
      <c r="AE356" s="13">
        <f t="shared" si="82"/>
        <v>0</v>
      </c>
      <c r="AF356" s="14">
        <f t="shared" si="83"/>
        <v>0</v>
      </c>
      <c r="AG356" s="13">
        <f t="shared" si="84"/>
        <v>5876.16</v>
      </c>
      <c r="AH356" s="13">
        <f t="shared" si="85"/>
        <v>411.33</v>
      </c>
      <c r="AI356" s="13">
        <f t="shared" si="86"/>
        <v>176.28</v>
      </c>
      <c r="AJ356" s="13">
        <f t="shared" si="87"/>
        <v>117.52</v>
      </c>
      <c r="AK356" s="13">
        <f t="shared" si="88"/>
        <v>0</v>
      </c>
      <c r="AL356" s="13">
        <f t="shared" si="89"/>
        <v>0</v>
      </c>
      <c r="AM356" s="13">
        <f t="shared" si="90"/>
        <v>5876.16</v>
      </c>
      <c r="AN356" s="13">
        <f t="shared" si="91"/>
        <v>411.33</v>
      </c>
      <c r="AO356" s="13">
        <f t="shared" si="92"/>
        <v>176.28</v>
      </c>
      <c r="AP356" s="13">
        <f t="shared" si="93"/>
        <v>117.52</v>
      </c>
      <c r="AQ356" s="13" t="str">
        <f t="shared" si="94"/>
        <v>TJ202512261223000240994</v>
      </c>
      <c r="AR356" s="13">
        <f t="shared" si="95"/>
        <v>0.06</v>
      </c>
    </row>
    <row r="357" spans="1:44">
      <c r="A357" s="21" t="s">
        <v>587</v>
      </c>
      <c r="B357" s="21" t="s">
        <v>588</v>
      </c>
      <c r="C357" s="21" t="s">
        <v>120</v>
      </c>
      <c r="D357" s="21" t="s">
        <v>121</v>
      </c>
      <c r="E357" s="21" t="s">
        <v>48</v>
      </c>
      <c r="F357" s="5">
        <f>ROUND(SUMIF([1]开票!$A$2:$A$1750,[1]申请!AQ357,[1]开票!$C$2:$C$1750),2)</f>
        <v>57.14</v>
      </c>
      <c r="G357" s="5">
        <f>ROUND(SUMIF([1]开票!$A$2:$A$1750,[1]申请!AQ357,[1]开票!$D$2:$D$1750),2)</f>
        <v>1933.33</v>
      </c>
      <c r="H357" s="5">
        <f>ROUND(SUMIF([1]开票!$A$2:$A$1750,[1]申请!AQ357,[1]开票!$E$2:$E$1750),2)</f>
        <v>2.86</v>
      </c>
      <c r="I357" s="5">
        <f t="shared" si="80"/>
        <v>1993.33</v>
      </c>
      <c r="J357" s="12"/>
      <c r="K357" s="12">
        <v>60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>
        <v>1633.33</v>
      </c>
      <c r="V357" s="12">
        <v>300</v>
      </c>
      <c r="W357" s="12"/>
      <c r="X357" s="12"/>
      <c r="Y357" s="12"/>
      <c r="Z357" s="12"/>
      <c r="AA357" s="12"/>
      <c r="AB357" s="12"/>
      <c r="AC357" s="12"/>
      <c r="AD357" s="12">
        <f t="shared" si="81"/>
        <v>1993.33</v>
      </c>
      <c r="AE357" s="13">
        <f t="shared" si="82"/>
        <v>0</v>
      </c>
      <c r="AF357" s="14">
        <f t="shared" si="83"/>
        <v>0</v>
      </c>
      <c r="AG357" s="13">
        <f t="shared" si="84"/>
        <v>2.86</v>
      </c>
      <c r="AH357" s="13">
        <f t="shared" si="85"/>
        <v>0.2</v>
      </c>
      <c r="AI357" s="13">
        <f t="shared" si="86"/>
        <v>0.09</v>
      </c>
      <c r="AJ357" s="13">
        <f t="shared" si="87"/>
        <v>0.06</v>
      </c>
      <c r="AK357" s="13">
        <f t="shared" si="88"/>
        <v>0</v>
      </c>
      <c r="AL357" s="13">
        <f t="shared" si="89"/>
        <v>0</v>
      </c>
      <c r="AM357" s="13">
        <f t="shared" si="90"/>
        <v>2.86</v>
      </c>
      <c r="AN357" s="13">
        <f t="shared" si="91"/>
        <v>0.2</v>
      </c>
      <c r="AO357" s="13">
        <f t="shared" si="92"/>
        <v>0.09</v>
      </c>
      <c r="AP357" s="13">
        <f t="shared" si="93"/>
        <v>0.06</v>
      </c>
      <c r="AQ357" s="13" t="str">
        <f t="shared" si="94"/>
        <v>TJ202512261446000017894</v>
      </c>
      <c r="AR357" s="13">
        <f t="shared" si="95"/>
        <v>0.05</v>
      </c>
    </row>
    <row r="358" spans="1:44">
      <c r="A358" s="21" t="s">
        <v>589</v>
      </c>
      <c r="B358" s="21" t="s">
        <v>590</v>
      </c>
      <c r="C358" s="21" t="s">
        <v>46</v>
      </c>
      <c r="D358" s="21" t="s">
        <v>47</v>
      </c>
      <c r="E358" s="21" t="s">
        <v>48</v>
      </c>
      <c r="F358" s="5">
        <f>ROUND(SUMIF([1]开票!$A$2:$A$1750,[1]申请!AQ358,[1]开票!$C$2:$C$1750),2)</f>
        <v>257.14</v>
      </c>
      <c r="G358" s="5">
        <f>ROUND(SUMIF([1]开票!$A$2:$A$1750,[1]申请!AQ358,[1]开票!$D$2:$D$1750),2)</f>
        <v>182742.14</v>
      </c>
      <c r="H358" s="5">
        <f>ROUND(SUMIF([1]开票!$A$2:$A$1750,[1]申请!AQ358,[1]开票!$E$2:$E$1750),2)</f>
        <v>12.86</v>
      </c>
      <c r="I358" s="5">
        <f t="shared" si="80"/>
        <v>183012.14</v>
      </c>
      <c r="J358" s="12"/>
      <c r="K358" s="12">
        <v>270</v>
      </c>
      <c r="L358" s="12"/>
      <c r="M358" s="12"/>
      <c r="N358" s="12"/>
      <c r="O358" s="12"/>
      <c r="P358" s="12"/>
      <c r="Q358" s="12"/>
      <c r="R358" s="12"/>
      <c r="S358" s="12">
        <v>143368.77</v>
      </c>
      <c r="T358" s="12">
        <v>9004.04</v>
      </c>
      <c r="U358" s="12">
        <v>24215.64</v>
      </c>
      <c r="V358" s="12">
        <v>5160</v>
      </c>
      <c r="W358" s="12"/>
      <c r="X358" s="12">
        <v>993.69</v>
      </c>
      <c r="Y358" s="12"/>
      <c r="Z358" s="12"/>
      <c r="AA358" s="12"/>
      <c r="AB358" s="12"/>
      <c r="AC358" s="12"/>
      <c r="AD358" s="12">
        <f t="shared" si="81"/>
        <v>183012.14</v>
      </c>
      <c r="AE358" s="13">
        <f t="shared" si="82"/>
        <v>0</v>
      </c>
      <c r="AF358" s="14">
        <f t="shared" si="83"/>
        <v>0</v>
      </c>
      <c r="AG358" s="13">
        <f t="shared" si="84"/>
        <v>12.86</v>
      </c>
      <c r="AH358" s="13">
        <f t="shared" si="85"/>
        <v>0.9</v>
      </c>
      <c r="AI358" s="13">
        <f t="shared" si="86"/>
        <v>0.39</v>
      </c>
      <c r="AJ358" s="13">
        <f t="shared" si="87"/>
        <v>0.26</v>
      </c>
      <c r="AK358" s="13">
        <f t="shared" si="88"/>
        <v>0</v>
      </c>
      <c r="AL358" s="13">
        <f t="shared" si="89"/>
        <v>0</v>
      </c>
      <c r="AM358" s="13">
        <f t="shared" si="90"/>
        <v>12.86</v>
      </c>
      <c r="AN358" s="13">
        <f t="shared" si="91"/>
        <v>0.9</v>
      </c>
      <c r="AO358" s="13">
        <f t="shared" si="92"/>
        <v>0.39</v>
      </c>
      <c r="AP358" s="13">
        <f t="shared" si="93"/>
        <v>0.26</v>
      </c>
      <c r="AQ358" s="13" t="str">
        <f t="shared" si="94"/>
        <v>TJ202512261448000143931</v>
      </c>
      <c r="AR358" s="13">
        <f t="shared" si="95"/>
        <v>0.05</v>
      </c>
    </row>
    <row r="359" spans="1:44">
      <c r="A359" s="21" t="s">
        <v>591</v>
      </c>
      <c r="B359" s="21" t="s">
        <v>592</v>
      </c>
      <c r="C359" s="21" t="s">
        <v>120</v>
      </c>
      <c r="D359" s="21" t="s">
        <v>121</v>
      </c>
      <c r="E359" s="21" t="s">
        <v>48</v>
      </c>
      <c r="F359" s="5">
        <f>ROUND(SUMIF([1]开票!$A$2:$A$1750,[1]申请!AQ359,[1]开票!$C$2:$C$1750),2)</f>
        <v>754.52</v>
      </c>
      <c r="G359" s="5">
        <f>ROUND(SUMIF([1]开票!$A$2:$A$1750,[1]申请!AQ359,[1]开票!$D$2:$D$1750),2)</f>
        <v>60839.35</v>
      </c>
      <c r="H359" s="5">
        <f>ROUND(SUMIF([1]开票!$A$2:$A$1750,[1]申请!AQ359,[1]开票!$E$2:$E$1750),2)</f>
        <v>37.73</v>
      </c>
      <c r="I359" s="5">
        <f t="shared" si="80"/>
        <v>61631.6</v>
      </c>
      <c r="J359" s="12"/>
      <c r="K359" s="12">
        <v>792.25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>
        <v>45132.59</v>
      </c>
      <c r="V359" s="12">
        <v>12265</v>
      </c>
      <c r="W359" s="12"/>
      <c r="X359" s="12">
        <v>3441.76</v>
      </c>
      <c r="Y359" s="12"/>
      <c r="Z359" s="12"/>
      <c r="AA359" s="12"/>
      <c r="AB359" s="12"/>
      <c r="AC359" s="12"/>
      <c r="AD359" s="12">
        <f t="shared" si="81"/>
        <v>61631.6</v>
      </c>
      <c r="AE359" s="13">
        <f t="shared" si="82"/>
        <v>0</v>
      </c>
      <c r="AF359" s="14">
        <f t="shared" si="83"/>
        <v>0</v>
      </c>
      <c r="AG359" s="13">
        <f t="shared" si="84"/>
        <v>37.73</v>
      </c>
      <c r="AH359" s="13">
        <f t="shared" si="85"/>
        <v>2.64</v>
      </c>
      <c r="AI359" s="13">
        <f t="shared" si="86"/>
        <v>1.13</v>
      </c>
      <c r="AJ359" s="13">
        <f t="shared" si="87"/>
        <v>0.75</v>
      </c>
      <c r="AK359" s="13">
        <f t="shared" si="88"/>
        <v>0</v>
      </c>
      <c r="AL359" s="13">
        <f t="shared" si="89"/>
        <v>0</v>
      </c>
      <c r="AM359" s="13">
        <f t="shared" si="90"/>
        <v>37.73</v>
      </c>
      <c r="AN359" s="13">
        <f t="shared" si="91"/>
        <v>2.64</v>
      </c>
      <c r="AO359" s="13">
        <f t="shared" si="92"/>
        <v>1.13</v>
      </c>
      <c r="AP359" s="13">
        <f t="shared" si="93"/>
        <v>0.75</v>
      </c>
      <c r="AQ359" s="13" t="str">
        <f t="shared" si="94"/>
        <v>TJ202512261601000561914</v>
      </c>
      <c r="AR359" s="13">
        <f t="shared" si="95"/>
        <v>0.05</v>
      </c>
    </row>
    <row r="360" spans="1:44">
      <c r="A360" s="17" t="s">
        <v>593</v>
      </c>
      <c r="B360" s="17" t="s">
        <v>131</v>
      </c>
      <c r="C360" s="17" t="s">
        <v>132</v>
      </c>
      <c r="D360" s="17" t="s">
        <v>60</v>
      </c>
      <c r="E360" s="17" t="s">
        <v>51</v>
      </c>
      <c r="F360" s="5">
        <f>ROUND(SUMIF([1]开票!$A$2:$A$1750,[1]申请!AQ360,[1]开票!$C$2:$C$1750),2)</f>
        <v>1673653.54</v>
      </c>
      <c r="G360" s="5">
        <f>ROUND(SUMIF([1]开票!$A$2:$A$1750,[1]申请!AQ360,[1]开票!$D$2:$D$1750),2)</f>
        <v>0</v>
      </c>
      <c r="H360" s="5">
        <f>ROUND(SUMIF([1]开票!$A$2:$A$1750,[1]申请!AQ360,[1]开票!$E$2:$E$1750),2)</f>
        <v>100419.21</v>
      </c>
      <c r="I360" s="5">
        <f t="shared" si="80"/>
        <v>1774072.75</v>
      </c>
      <c r="J360" s="12"/>
      <c r="K360" s="12"/>
      <c r="L360" s="12"/>
      <c r="M360" s="12"/>
      <c r="N360" s="12"/>
      <c r="O360" s="12"/>
      <c r="P360" s="12"/>
      <c r="Q360" s="12">
        <v>89293.75</v>
      </c>
      <c r="R360" s="12"/>
      <c r="S360" s="12"/>
      <c r="T360" s="12"/>
      <c r="U360" s="12"/>
      <c r="V360" s="12"/>
      <c r="W360" s="12"/>
      <c r="X360" s="12"/>
      <c r="Y360" s="12"/>
      <c r="Z360" s="12">
        <v>1684779</v>
      </c>
      <c r="AA360" s="12"/>
      <c r="AB360" s="12"/>
      <c r="AC360" s="12"/>
      <c r="AD360" s="12">
        <f t="shared" si="81"/>
        <v>1774072.75</v>
      </c>
      <c r="AE360" s="13">
        <f t="shared" si="82"/>
        <v>0</v>
      </c>
      <c r="AF360" s="14">
        <f t="shared" si="83"/>
        <v>0</v>
      </c>
      <c r="AG360" s="13">
        <f t="shared" si="84"/>
        <v>100419.21</v>
      </c>
      <c r="AH360" s="13">
        <f t="shared" si="85"/>
        <v>7029.34</v>
      </c>
      <c r="AI360" s="13">
        <f t="shared" si="86"/>
        <v>3012.58</v>
      </c>
      <c r="AJ360" s="13">
        <f t="shared" si="87"/>
        <v>2008.38</v>
      </c>
      <c r="AK360" s="13">
        <f t="shared" si="88"/>
        <v>0</v>
      </c>
      <c r="AL360" s="13">
        <f t="shared" si="89"/>
        <v>0</v>
      </c>
      <c r="AM360" s="13">
        <f t="shared" si="90"/>
        <v>100419.21</v>
      </c>
      <c r="AN360" s="13">
        <f t="shared" si="91"/>
        <v>7029.34</v>
      </c>
      <c r="AO360" s="13">
        <f t="shared" si="92"/>
        <v>3012.58</v>
      </c>
      <c r="AP360" s="13">
        <f t="shared" si="93"/>
        <v>2008.38</v>
      </c>
      <c r="AQ360" s="13" t="str">
        <f t="shared" si="94"/>
        <v>TJ202512261758000266548</v>
      </c>
      <c r="AR360" s="13">
        <f t="shared" si="95"/>
        <v>0.06</v>
      </c>
    </row>
    <row r="361" spans="1:44">
      <c r="A361" s="17" t="s">
        <v>594</v>
      </c>
      <c r="B361" s="17" t="s">
        <v>131</v>
      </c>
      <c r="C361" s="17" t="s">
        <v>132</v>
      </c>
      <c r="D361" s="17" t="s">
        <v>60</v>
      </c>
      <c r="E361" s="17" t="s">
        <v>51</v>
      </c>
      <c r="F361" s="5">
        <f>ROUND(SUMIF([1]开票!$A$2:$A$1750,[1]申请!AQ361,[1]开票!$C$2:$C$1750),2)</f>
        <v>158484.48</v>
      </c>
      <c r="G361" s="5">
        <f>ROUND(SUMIF([1]开票!$A$2:$A$1750,[1]申请!AQ361,[1]开票!$D$2:$D$1750),2)</f>
        <v>0</v>
      </c>
      <c r="H361" s="5">
        <f>ROUND(SUMIF([1]开票!$A$2:$A$1750,[1]申请!AQ361,[1]开票!$E$2:$E$1750),2)</f>
        <v>9509.07</v>
      </c>
      <c r="I361" s="5">
        <f t="shared" si="80"/>
        <v>167993.55</v>
      </c>
      <c r="J361" s="12"/>
      <c r="K361" s="12"/>
      <c r="L361" s="12"/>
      <c r="M361" s="12"/>
      <c r="N361" s="12"/>
      <c r="O361" s="12"/>
      <c r="P361" s="12"/>
      <c r="Q361" s="12">
        <v>8455.55</v>
      </c>
      <c r="R361" s="12"/>
      <c r="S361" s="12"/>
      <c r="T361" s="12"/>
      <c r="U361" s="12"/>
      <c r="V361" s="12"/>
      <c r="W361" s="12"/>
      <c r="X361" s="12"/>
      <c r="Y361" s="12"/>
      <c r="Z361" s="12">
        <v>159538</v>
      </c>
      <c r="AA361" s="12"/>
      <c r="AB361" s="12"/>
      <c r="AC361" s="12"/>
      <c r="AD361" s="12">
        <f t="shared" si="81"/>
        <v>167993.55</v>
      </c>
      <c r="AE361" s="13">
        <f t="shared" si="82"/>
        <v>0</v>
      </c>
      <c r="AF361" s="14">
        <f t="shared" si="83"/>
        <v>0</v>
      </c>
      <c r="AG361" s="13">
        <f t="shared" si="84"/>
        <v>9509.07</v>
      </c>
      <c r="AH361" s="13">
        <f t="shared" si="85"/>
        <v>665.63</v>
      </c>
      <c r="AI361" s="13">
        <f t="shared" si="86"/>
        <v>285.27</v>
      </c>
      <c r="AJ361" s="13">
        <f t="shared" si="87"/>
        <v>190.18</v>
      </c>
      <c r="AK361" s="13">
        <f t="shared" si="88"/>
        <v>0</v>
      </c>
      <c r="AL361" s="13">
        <f t="shared" si="89"/>
        <v>0</v>
      </c>
      <c r="AM361" s="13">
        <f t="shared" si="90"/>
        <v>9509.07</v>
      </c>
      <c r="AN361" s="13">
        <f t="shared" si="91"/>
        <v>665.63</v>
      </c>
      <c r="AO361" s="13">
        <f t="shared" si="92"/>
        <v>285.27</v>
      </c>
      <c r="AP361" s="13">
        <f t="shared" si="93"/>
        <v>190.18</v>
      </c>
      <c r="AQ361" s="13" t="str">
        <f t="shared" si="94"/>
        <v>TJ202512261807000501846</v>
      </c>
      <c r="AR361" s="13">
        <f t="shared" si="95"/>
        <v>0.06</v>
      </c>
    </row>
    <row r="362" spans="1:44">
      <c r="A362" s="17" t="s">
        <v>595</v>
      </c>
      <c r="B362" s="17" t="s">
        <v>596</v>
      </c>
      <c r="C362" s="17" t="s">
        <v>46</v>
      </c>
      <c r="D362" s="17" t="s">
        <v>47</v>
      </c>
      <c r="E362" s="17" t="s">
        <v>184</v>
      </c>
      <c r="F362" s="5">
        <f>ROUND(SUMIF([1]开票!$A$2:$A$1750,[1]申请!AQ362,[1]开票!$C$2:$C$1750),2)</f>
        <v>285.71</v>
      </c>
      <c r="G362" s="5">
        <f>ROUND(SUMIF([1]开票!$A$2:$A$1750,[1]申请!AQ362,[1]开票!$D$2:$D$1750),2)</f>
        <v>80293.34</v>
      </c>
      <c r="H362" s="5">
        <f>ROUND(SUMIF([1]开票!$A$2:$A$1750,[1]申请!AQ362,[1]开票!$E$2:$E$1750),2)</f>
        <v>14.29</v>
      </c>
      <c r="I362" s="5">
        <f t="shared" si="80"/>
        <v>80593.34</v>
      </c>
      <c r="J362" s="12">
        <v>300</v>
      </c>
      <c r="K362" s="12"/>
      <c r="L362" s="12"/>
      <c r="M362" s="12"/>
      <c r="N362" s="12"/>
      <c r="O362" s="12"/>
      <c r="P362" s="12"/>
      <c r="Q362" s="12"/>
      <c r="R362" s="12"/>
      <c r="S362" s="12">
        <v>41710.16</v>
      </c>
      <c r="T362" s="12">
        <v>7192.53</v>
      </c>
      <c r="U362" s="12">
        <v>22206.9</v>
      </c>
      <c r="V362" s="12">
        <v>8295</v>
      </c>
      <c r="W362" s="12"/>
      <c r="X362" s="12">
        <v>888.75</v>
      </c>
      <c r="Y362" s="12"/>
      <c r="Z362" s="12"/>
      <c r="AA362" s="12"/>
      <c r="AB362" s="12"/>
      <c r="AC362" s="12"/>
      <c r="AD362" s="12">
        <f t="shared" si="81"/>
        <v>80593.34</v>
      </c>
      <c r="AE362" s="13">
        <f t="shared" si="82"/>
        <v>0</v>
      </c>
      <c r="AF362" s="14">
        <f t="shared" si="83"/>
        <v>0</v>
      </c>
      <c r="AG362" s="13">
        <f t="shared" si="84"/>
        <v>14.29</v>
      </c>
      <c r="AH362" s="13">
        <f t="shared" si="85"/>
        <v>1</v>
      </c>
      <c r="AI362" s="13">
        <f t="shared" si="86"/>
        <v>0.43</v>
      </c>
      <c r="AJ362" s="13">
        <f t="shared" si="87"/>
        <v>0.29</v>
      </c>
      <c r="AK362" s="13">
        <f t="shared" si="88"/>
        <v>0</v>
      </c>
      <c r="AL362" s="13">
        <f t="shared" si="89"/>
        <v>0</v>
      </c>
      <c r="AM362" s="13">
        <f t="shared" si="90"/>
        <v>14.29</v>
      </c>
      <c r="AN362" s="13">
        <f t="shared" si="91"/>
        <v>1</v>
      </c>
      <c r="AO362" s="13">
        <f t="shared" si="92"/>
        <v>0.43</v>
      </c>
      <c r="AP362" s="13">
        <f t="shared" si="93"/>
        <v>0.29</v>
      </c>
      <c r="AQ362" s="13" t="str">
        <f t="shared" si="94"/>
        <v>TJ202512290945000298055</v>
      </c>
      <c r="AR362" s="13">
        <f t="shared" si="95"/>
        <v>0.05</v>
      </c>
    </row>
    <row r="363" spans="1:44">
      <c r="A363" s="17" t="s">
        <v>597</v>
      </c>
      <c r="B363" s="17" t="s">
        <v>50</v>
      </c>
      <c r="C363" s="17" t="s">
        <v>46</v>
      </c>
      <c r="D363" s="17" t="s">
        <v>47</v>
      </c>
      <c r="E363" s="17" t="s">
        <v>51</v>
      </c>
      <c r="F363" s="5">
        <f>ROUND(SUMIF([1]开票!$A$2:$A$1750,[1]申请!AQ363,[1]开票!$C$2:$C$1750),2)</f>
        <v>2445.28</v>
      </c>
      <c r="G363" s="5">
        <f>ROUND(SUMIF([1]开票!$A$2:$A$1750,[1]申请!AQ363,[1]开票!$D$2:$D$1750),2)</f>
        <v>0</v>
      </c>
      <c r="H363" s="5">
        <f>ROUND(SUMIF([1]开票!$A$2:$A$1750,[1]申请!AQ363,[1]开票!$E$2:$E$1750),2)</f>
        <v>146.72</v>
      </c>
      <c r="I363" s="5">
        <f t="shared" si="80"/>
        <v>2592</v>
      </c>
      <c r="J363" s="12">
        <v>30.72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>
        <v>161.28</v>
      </c>
      <c r="Z363" s="12"/>
      <c r="AA363" s="12">
        <v>2400</v>
      </c>
      <c r="AB363" s="12"/>
      <c r="AC363" s="12"/>
      <c r="AD363" s="12">
        <f t="shared" si="81"/>
        <v>2592</v>
      </c>
      <c r="AE363" s="13">
        <f t="shared" si="82"/>
        <v>0</v>
      </c>
      <c r="AF363" s="14">
        <f t="shared" si="83"/>
        <v>0</v>
      </c>
      <c r="AG363" s="13">
        <f t="shared" si="84"/>
        <v>146.72</v>
      </c>
      <c r="AH363" s="13">
        <f t="shared" si="85"/>
        <v>10.27</v>
      </c>
      <c r="AI363" s="13">
        <f t="shared" si="86"/>
        <v>4.4</v>
      </c>
      <c r="AJ363" s="13">
        <f t="shared" si="87"/>
        <v>2.93</v>
      </c>
      <c r="AK363" s="13">
        <f t="shared" si="88"/>
        <v>144</v>
      </c>
      <c r="AL363" s="13">
        <f t="shared" si="89"/>
        <v>17.28</v>
      </c>
      <c r="AM363" s="13">
        <f t="shared" si="90"/>
        <v>2.72</v>
      </c>
      <c r="AN363" s="13">
        <f t="shared" si="91"/>
        <v>0.19</v>
      </c>
      <c r="AO363" s="13">
        <f t="shared" si="92"/>
        <v>0.08</v>
      </c>
      <c r="AP363" s="13">
        <f t="shared" si="93"/>
        <v>0.05</v>
      </c>
      <c r="AQ363" s="13" t="str">
        <f t="shared" si="94"/>
        <v>TJ202512291016000401809</v>
      </c>
      <c r="AR363" s="13">
        <f t="shared" si="95"/>
        <v>0.06</v>
      </c>
    </row>
    <row r="364" spans="1:44">
      <c r="A364" s="17" t="s">
        <v>598</v>
      </c>
      <c r="B364" s="17" t="s">
        <v>59</v>
      </c>
      <c r="C364" s="17" t="s">
        <v>54</v>
      </c>
      <c r="D364" s="17" t="s">
        <v>60</v>
      </c>
      <c r="E364" s="17" t="s">
        <v>51</v>
      </c>
      <c r="F364" s="5">
        <f>ROUND(SUMIF([1]开票!$A$2:$A$1750,[1]申请!AQ364,[1]开票!$C$2:$C$1750),2)</f>
        <v>7066.04</v>
      </c>
      <c r="G364" s="5">
        <f>ROUND(SUMIF([1]开票!$A$2:$A$1750,[1]申请!AQ364,[1]开票!$D$2:$D$1750),2)</f>
        <v>0</v>
      </c>
      <c r="H364" s="5">
        <f>ROUND(SUMIF([1]开票!$A$2:$A$1750,[1]申请!AQ364,[1]开票!$E$2:$E$1750),2)</f>
        <v>423.96</v>
      </c>
      <c r="I364" s="5">
        <f t="shared" si="80"/>
        <v>7490</v>
      </c>
      <c r="J364" s="12"/>
      <c r="K364" s="12"/>
      <c r="L364" s="12"/>
      <c r="M364" s="12"/>
      <c r="N364" s="12"/>
      <c r="O364" s="12"/>
      <c r="P364" s="12"/>
      <c r="Q364" s="12">
        <v>490</v>
      </c>
      <c r="R364" s="12"/>
      <c r="S364" s="12"/>
      <c r="T364" s="12"/>
      <c r="U364" s="12"/>
      <c r="V364" s="12"/>
      <c r="W364" s="12"/>
      <c r="X364" s="12"/>
      <c r="Y364" s="12"/>
      <c r="Z364" s="12">
        <v>7000</v>
      </c>
      <c r="AA364" s="12"/>
      <c r="AB364" s="12"/>
      <c r="AC364" s="12"/>
      <c r="AD364" s="12">
        <f t="shared" si="81"/>
        <v>7490</v>
      </c>
      <c r="AE364" s="13">
        <f t="shared" si="82"/>
        <v>0</v>
      </c>
      <c r="AF364" s="14">
        <f t="shared" si="83"/>
        <v>0</v>
      </c>
      <c r="AG364" s="13">
        <f t="shared" si="84"/>
        <v>423.96</v>
      </c>
      <c r="AH364" s="13">
        <f t="shared" si="85"/>
        <v>29.68</v>
      </c>
      <c r="AI364" s="13">
        <f t="shared" si="86"/>
        <v>12.72</v>
      </c>
      <c r="AJ364" s="13">
        <f t="shared" si="87"/>
        <v>8.48</v>
      </c>
      <c r="AK364" s="13">
        <f t="shared" si="88"/>
        <v>0</v>
      </c>
      <c r="AL364" s="13">
        <f t="shared" si="89"/>
        <v>0</v>
      </c>
      <c r="AM364" s="13">
        <f t="shared" si="90"/>
        <v>423.96</v>
      </c>
      <c r="AN364" s="13">
        <f t="shared" si="91"/>
        <v>29.68</v>
      </c>
      <c r="AO364" s="13">
        <f t="shared" si="92"/>
        <v>12.72</v>
      </c>
      <c r="AP364" s="13">
        <f t="shared" si="93"/>
        <v>8.48</v>
      </c>
      <c r="AQ364" s="13" t="str">
        <f t="shared" si="94"/>
        <v>TJ202512291019000002197</v>
      </c>
      <c r="AR364" s="13">
        <f t="shared" si="95"/>
        <v>0.06</v>
      </c>
    </row>
    <row r="365" spans="1:44">
      <c r="A365" s="17" t="s">
        <v>599</v>
      </c>
      <c r="B365" s="17" t="s">
        <v>59</v>
      </c>
      <c r="C365" s="17" t="s">
        <v>54</v>
      </c>
      <c r="D365" s="17" t="s">
        <v>60</v>
      </c>
      <c r="E365" s="17" t="s">
        <v>51</v>
      </c>
      <c r="F365" s="5">
        <f>ROUND(SUMIF([1]开票!$A$2:$A$1750,[1]申请!AQ365,[1]开票!$C$2:$C$1750),2)</f>
        <v>8075.47</v>
      </c>
      <c r="G365" s="5">
        <f>ROUND(SUMIF([1]开票!$A$2:$A$1750,[1]申请!AQ365,[1]开票!$D$2:$D$1750),2)</f>
        <v>0</v>
      </c>
      <c r="H365" s="5">
        <f>ROUND(SUMIF([1]开票!$A$2:$A$1750,[1]申请!AQ365,[1]开票!$E$2:$E$1750),2)</f>
        <v>484.53</v>
      </c>
      <c r="I365" s="5">
        <f t="shared" si="80"/>
        <v>8560</v>
      </c>
      <c r="J365" s="12"/>
      <c r="K365" s="12"/>
      <c r="L365" s="12"/>
      <c r="M365" s="12"/>
      <c r="N365" s="12"/>
      <c r="O365" s="12"/>
      <c r="P365" s="12"/>
      <c r="Q365" s="12">
        <v>560</v>
      </c>
      <c r="R365" s="12"/>
      <c r="S365" s="12"/>
      <c r="T365" s="12"/>
      <c r="U365" s="12"/>
      <c r="V365" s="12"/>
      <c r="W365" s="12"/>
      <c r="X365" s="12"/>
      <c r="Y365" s="12"/>
      <c r="Z365" s="12">
        <v>8000</v>
      </c>
      <c r="AA365" s="12"/>
      <c r="AB365" s="12"/>
      <c r="AC365" s="12"/>
      <c r="AD365" s="12">
        <f t="shared" si="81"/>
        <v>8560</v>
      </c>
      <c r="AE365" s="13">
        <f t="shared" si="82"/>
        <v>0</v>
      </c>
      <c r="AF365" s="14">
        <f t="shared" si="83"/>
        <v>0</v>
      </c>
      <c r="AG365" s="13">
        <f t="shared" si="84"/>
        <v>484.53</v>
      </c>
      <c r="AH365" s="13">
        <f t="shared" si="85"/>
        <v>33.92</v>
      </c>
      <c r="AI365" s="13">
        <f t="shared" si="86"/>
        <v>14.54</v>
      </c>
      <c r="AJ365" s="13">
        <f t="shared" si="87"/>
        <v>9.69</v>
      </c>
      <c r="AK365" s="13">
        <f t="shared" si="88"/>
        <v>0</v>
      </c>
      <c r="AL365" s="13">
        <f t="shared" si="89"/>
        <v>0</v>
      </c>
      <c r="AM365" s="13">
        <f t="shared" si="90"/>
        <v>484.53</v>
      </c>
      <c r="AN365" s="13">
        <f t="shared" si="91"/>
        <v>33.92</v>
      </c>
      <c r="AO365" s="13">
        <f t="shared" si="92"/>
        <v>14.54</v>
      </c>
      <c r="AP365" s="13">
        <f t="shared" si="93"/>
        <v>9.69</v>
      </c>
      <c r="AQ365" s="13" t="str">
        <f t="shared" si="94"/>
        <v>TJ202512291020000204861</v>
      </c>
      <c r="AR365" s="13">
        <f t="shared" si="95"/>
        <v>0.06</v>
      </c>
    </row>
    <row r="366" spans="1:44">
      <c r="A366" s="17" t="s">
        <v>600</v>
      </c>
      <c r="B366" s="17" t="s">
        <v>59</v>
      </c>
      <c r="C366" s="17" t="s">
        <v>54</v>
      </c>
      <c r="D366" s="17" t="s">
        <v>60</v>
      </c>
      <c r="E366" s="17" t="s">
        <v>51</v>
      </c>
      <c r="F366" s="5">
        <f>ROUND(SUMIF([1]开票!$A$2:$A$1750,[1]申请!AQ366,[1]开票!$C$2:$C$1750),2)</f>
        <v>8075.47</v>
      </c>
      <c r="G366" s="5">
        <f>ROUND(SUMIF([1]开票!$A$2:$A$1750,[1]申请!AQ366,[1]开票!$D$2:$D$1750),2)</f>
        <v>0</v>
      </c>
      <c r="H366" s="5">
        <f>ROUND(SUMIF([1]开票!$A$2:$A$1750,[1]申请!AQ366,[1]开票!$E$2:$E$1750),2)</f>
        <v>484.53</v>
      </c>
      <c r="I366" s="5">
        <f t="shared" si="80"/>
        <v>8560</v>
      </c>
      <c r="J366" s="12"/>
      <c r="K366" s="12"/>
      <c r="L366" s="12"/>
      <c r="M366" s="12"/>
      <c r="N366" s="12"/>
      <c r="O366" s="12"/>
      <c r="P366" s="12"/>
      <c r="Q366" s="12">
        <v>560</v>
      </c>
      <c r="R366" s="12"/>
      <c r="S366" s="12"/>
      <c r="T366" s="12"/>
      <c r="U366" s="12"/>
      <c r="V366" s="12"/>
      <c r="W366" s="12"/>
      <c r="X366" s="12"/>
      <c r="Y366" s="12"/>
      <c r="Z366" s="12">
        <v>8000</v>
      </c>
      <c r="AA366" s="12"/>
      <c r="AB366" s="12"/>
      <c r="AC366" s="12"/>
      <c r="AD366" s="12">
        <f t="shared" si="81"/>
        <v>8560</v>
      </c>
      <c r="AE366" s="13">
        <f t="shared" si="82"/>
        <v>0</v>
      </c>
      <c r="AF366" s="14">
        <f t="shared" si="83"/>
        <v>0</v>
      </c>
      <c r="AG366" s="13">
        <f t="shared" si="84"/>
        <v>484.53</v>
      </c>
      <c r="AH366" s="13">
        <f t="shared" si="85"/>
        <v>33.92</v>
      </c>
      <c r="AI366" s="13">
        <f t="shared" si="86"/>
        <v>14.54</v>
      </c>
      <c r="AJ366" s="13">
        <f t="shared" si="87"/>
        <v>9.69</v>
      </c>
      <c r="AK366" s="13">
        <f t="shared" si="88"/>
        <v>0</v>
      </c>
      <c r="AL366" s="13">
        <f t="shared" si="89"/>
        <v>0</v>
      </c>
      <c r="AM366" s="13">
        <f t="shared" si="90"/>
        <v>484.53</v>
      </c>
      <c r="AN366" s="13">
        <f t="shared" si="91"/>
        <v>33.92</v>
      </c>
      <c r="AO366" s="13">
        <f t="shared" si="92"/>
        <v>14.54</v>
      </c>
      <c r="AP366" s="13">
        <f t="shared" si="93"/>
        <v>9.69</v>
      </c>
      <c r="AQ366" s="13" t="str">
        <f t="shared" si="94"/>
        <v>TJ202512291025000276851</v>
      </c>
      <c r="AR366" s="13">
        <f t="shared" si="95"/>
        <v>0.06</v>
      </c>
    </row>
    <row r="367" spans="1:44">
      <c r="A367" s="17" t="s">
        <v>601</v>
      </c>
      <c r="B367" s="17" t="s">
        <v>524</v>
      </c>
      <c r="C367" s="17" t="s">
        <v>120</v>
      </c>
      <c r="D367" s="17" t="s">
        <v>121</v>
      </c>
      <c r="E367" s="17" t="s">
        <v>48</v>
      </c>
      <c r="F367" s="5">
        <f>ROUND(SUMIF([1]开票!$A$2:$A$1750,[1]申请!AQ367,[1]开票!$C$2:$C$1750),2)</f>
        <v>0</v>
      </c>
      <c r="G367" s="5">
        <f>ROUND(SUMIF([1]开票!$A$2:$A$1750,[1]申请!AQ367,[1]开票!$D$2:$D$1750),2)</f>
        <v>128965.38</v>
      </c>
      <c r="H367" s="5">
        <f>ROUND(SUMIF([1]开票!$A$2:$A$1750,[1]申请!AQ367,[1]开票!$E$2:$E$1750),2)</f>
        <v>0</v>
      </c>
      <c r="I367" s="5">
        <f t="shared" si="80"/>
        <v>128965.38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>
        <v>127714.99</v>
      </c>
      <c r="T367" s="12">
        <v>1250.39</v>
      </c>
      <c r="U367" s="12"/>
      <c r="V367" s="12"/>
      <c r="W367" s="12"/>
      <c r="X367" s="12"/>
      <c r="Y367" s="12"/>
      <c r="Z367" s="12"/>
      <c r="AA367" s="12"/>
      <c r="AB367" s="12"/>
      <c r="AC367" s="12"/>
      <c r="AD367" s="12">
        <f t="shared" si="81"/>
        <v>128965.38</v>
      </c>
      <c r="AE367" s="13">
        <f t="shared" si="82"/>
        <v>0</v>
      </c>
      <c r="AF367" s="14">
        <f t="shared" si="83"/>
        <v>0</v>
      </c>
      <c r="AG367" s="13">
        <f t="shared" si="84"/>
        <v>0</v>
      </c>
      <c r="AH367" s="13">
        <f t="shared" si="85"/>
        <v>0</v>
      </c>
      <c r="AI367" s="13">
        <f t="shared" si="86"/>
        <v>0</v>
      </c>
      <c r="AJ367" s="13">
        <f t="shared" si="87"/>
        <v>0</v>
      </c>
      <c r="AK367" s="13">
        <f t="shared" si="88"/>
        <v>0</v>
      </c>
      <c r="AL367" s="13">
        <f t="shared" si="89"/>
        <v>0</v>
      </c>
      <c r="AM367" s="13">
        <f t="shared" si="90"/>
        <v>0</v>
      </c>
      <c r="AN367" s="13">
        <f t="shared" si="91"/>
        <v>0</v>
      </c>
      <c r="AO367" s="13">
        <f t="shared" si="92"/>
        <v>0</v>
      </c>
      <c r="AP367" s="13">
        <f t="shared" si="93"/>
        <v>0</v>
      </c>
      <c r="AQ367" s="13" t="str">
        <f t="shared" si="94"/>
        <v>TJ202512291404000370907</v>
      </c>
      <c r="AR367" s="13">
        <f t="shared" si="95"/>
        <v>0.05</v>
      </c>
    </row>
    <row r="368" spans="1:44">
      <c r="A368" s="17" t="s">
        <v>602</v>
      </c>
      <c r="B368" s="17" t="s">
        <v>57</v>
      </c>
      <c r="C368" s="17" t="s">
        <v>54</v>
      </c>
      <c r="D368" s="17" t="s">
        <v>55</v>
      </c>
      <c r="E368" s="17" t="s">
        <v>51</v>
      </c>
      <c r="F368" s="5">
        <f>ROUND(SUMIF([1]开票!$A$2:$A$1750,[1]申请!AQ368,[1]开票!$C$2:$C$1750),2)</f>
        <v>12355.03</v>
      </c>
      <c r="G368" s="5">
        <f>ROUND(SUMIF([1]开票!$A$2:$A$1750,[1]申请!AQ368,[1]开票!$D$2:$D$1750),2)</f>
        <v>0</v>
      </c>
      <c r="H368" s="5">
        <f>ROUND(SUMIF([1]开票!$A$2:$A$1750,[1]申请!AQ368,[1]开票!$E$2:$E$1750),2)</f>
        <v>741.3</v>
      </c>
      <c r="I368" s="5">
        <f t="shared" si="80"/>
        <v>13096.33</v>
      </c>
      <c r="J368" s="12">
        <v>13096.33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>
        <f t="shared" si="81"/>
        <v>13096.33</v>
      </c>
      <c r="AE368" s="13">
        <f t="shared" si="82"/>
        <v>0</v>
      </c>
      <c r="AF368" s="14">
        <f t="shared" si="83"/>
        <v>0</v>
      </c>
      <c r="AG368" s="13">
        <f t="shared" si="84"/>
        <v>741.3</v>
      </c>
      <c r="AH368" s="13">
        <f t="shared" si="85"/>
        <v>51.89</v>
      </c>
      <c r="AI368" s="13">
        <f t="shared" si="86"/>
        <v>22.24</v>
      </c>
      <c r="AJ368" s="13">
        <f t="shared" si="87"/>
        <v>14.83</v>
      </c>
      <c r="AK368" s="13">
        <f t="shared" si="88"/>
        <v>0</v>
      </c>
      <c r="AL368" s="13">
        <f t="shared" si="89"/>
        <v>0</v>
      </c>
      <c r="AM368" s="13">
        <f t="shared" si="90"/>
        <v>741.3</v>
      </c>
      <c r="AN368" s="13">
        <f t="shared" si="91"/>
        <v>51.89</v>
      </c>
      <c r="AO368" s="13">
        <f t="shared" si="92"/>
        <v>22.24</v>
      </c>
      <c r="AP368" s="13">
        <f t="shared" si="93"/>
        <v>14.83</v>
      </c>
      <c r="AQ368" s="13" t="str">
        <f t="shared" si="94"/>
        <v>TJ202512291533000382157</v>
      </c>
      <c r="AR368" s="13">
        <f t="shared" si="95"/>
        <v>0.06</v>
      </c>
    </row>
    <row r="369" spans="1:44">
      <c r="A369" s="17" t="s">
        <v>603</v>
      </c>
      <c r="B369" s="17" t="s">
        <v>102</v>
      </c>
      <c r="C369" s="17" t="s">
        <v>54</v>
      </c>
      <c r="D369" s="17" t="s">
        <v>55</v>
      </c>
      <c r="E369" s="17" t="s">
        <v>51</v>
      </c>
      <c r="F369" s="5">
        <f>ROUND(SUMIF([1]开票!$A$2:$A$1750,[1]申请!AQ369,[1]开票!$C$2:$C$1750),2)</f>
        <v>732945.07</v>
      </c>
      <c r="G369" s="5">
        <f>ROUND(SUMIF([1]开票!$A$2:$A$1750,[1]申请!AQ369,[1]开票!$D$2:$D$1750),2)</f>
        <v>0</v>
      </c>
      <c r="H369" s="5">
        <f>ROUND(SUMIF([1]开票!$A$2:$A$1750,[1]申请!AQ369,[1]开票!$E$2:$E$1750),2)</f>
        <v>43976.71</v>
      </c>
      <c r="I369" s="5">
        <f t="shared" si="80"/>
        <v>776921.78</v>
      </c>
      <c r="J369" s="12"/>
      <c r="K369" s="12"/>
      <c r="L369" s="12">
        <v>776921.78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>
        <f t="shared" si="81"/>
        <v>776921.78</v>
      </c>
      <c r="AE369" s="13">
        <f t="shared" si="82"/>
        <v>0</v>
      </c>
      <c r="AF369" s="14">
        <f t="shared" si="83"/>
        <v>0</v>
      </c>
      <c r="AG369" s="13">
        <f t="shared" si="84"/>
        <v>43976.71</v>
      </c>
      <c r="AH369" s="13">
        <f t="shared" si="85"/>
        <v>3078.37</v>
      </c>
      <c r="AI369" s="13">
        <f t="shared" si="86"/>
        <v>1319.3</v>
      </c>
      <c r="AJ369" s="13">
        <f t="shared" si="87"/>
        <v>879.53</v>
      </c>
      <c r="AK369" s="13">
        <f t="shared" si="88"/>
        <v>0</v>
      </c>
      <c r="AL369" s="13">
        <f t="shared" si="89"/>
        <v>0</v>
      </c>
      <c r="AM369" s="13">
        <f t="shared" si="90"/>
        <v>43976.71</v>
      </c>
      <c r="AN369" s="13">
        <f t="shared" si="91"/>
        <v>3078.37</v>
      </c>
      <c r="AO369" s="13">
        <f t="shared" si="92"/>
        <v>1319.3</v>
      </c>
      <c r="AP369" s="13">
        <f t="shared" si="93"/>
        <v>879.53</v>
      </c>
      <c r="AQ369" s="13" t="str">
        <f t="shared" si="94"/>
        <v>TJ202512291535000223643</v>
      </c>
      <c r="AR369" s="13">
        <f t="shared" si="95"/>
        <v>0.06</v>
      </c>
    </row>
    <row r="370" spans="1:44">
      <c r="A370" s="17" t="s">
        <v>604</v>
      </c>
      <c r="B370" s="17" t="s">
        <v>57</v>
      </c>
      <c r="C370" s="17" t="s">
        <v>54</v>
      </c>
      <c r="D370" s="17" t="s">
        <v>55</v>
      </c>
      <c r="E370" s="17" t="s">
        <v>51</v>
      </c>
      <c r="F370" s="5">
        <f>ROUND(SUMIF([1]开票!$A$2:$A$1750,[1]申请!AQ370,[1]开票!$C$2:$C$1750),2)</f>
        <v>12083.28</v>
      </c>
      <c r="G370" s="5">
        <f>ROUND(SUMIF([1]开票!$A$2:$A$1750,[1]申请!AQ370,[1]开票!$D$2:$D$1750),2)</f>
        <v>0</v>
      </c>
      <c r="H370" s="5">
        <f>ROUND(SUMIF([1]开票!$A$2:$A$1750,[1]申请!AQ370,[1]开票!$E$2:$E$1750),2)</f>
        <v>725</v>
      </c>
      <c r="I370" s="5">
        <f t="shared" si="80"/>
        <v>12808.28</v>
      </c>
      <c r="J370" s="12">
        <v>12808.28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>
        <f t="shared" si="81"/>
        <v>12808.28</v>
      </c>
      <c r="AE370" s="13">
        <f t="shared" si="82"/>
        <v>0</v>
      </c>
      <c r="AF370" s="14">
        <f t="shared" si="83"/>
        <v>0</v>
      </c>
      <c r="AG370" s="13">
        <f t="shared" si="84"/>
        <v>725</v>
      </c>
      <c r="AH370" s="13">
        <f t="shared" si="85"/>
        <v>50.75</v>
      </c>
      <c r="AI370" s="13">
        <f t="shared" si="86"/>
        <v>21.75</v>
      </c>
      <c r="AJ370" s="13">
        <f t="shared" si="87"/>
        <v>14.5</v>
      </c>
      <c r="AK370" s="13">
        <f t="shared" si="88"/>
        <v>0</v>
      </c>
      <c r="AL370" s="13">
        <f t="shared" si="89"/>
        <v>0</v>
      </c>
      <c r="AM370" s="13">
        <f t="shared" si="90"/>
        <v>725</v>
      </c>
      <c r="AN370" s="13">
        <f t="shared" si="91"/>
        <v>50.75</v>
      </c>
      <c r="AO370" s="13">
        <f t="shared" si="92"/>
        <v>21.75</v>
      </c>
      <c r="AP370" s="13">
        <f t="shared" si="93"/>
        <v>14.5</v>
      </c>
      <c r="AQ370" s="13" t="str">
        <f t="shared" si="94"/>
        <v>TJ202512291535000231995</v>
      </c>
      <c r="AR370" s="13">
        <f t="shared" si="95"/>
        <v>0.06</v>
      </c>
    </row>
    <row r="371" spans="1:44">
      <c r="A371" s="17" t="s">
        <v>605</v>
      </c>
      <c r="B371" s="17" t="s">
        <v>57</v>
      </c>
      <c r="C371" s="17" t="s">
        <v>54</v>
      </c>
      <c r="D371" s="17" t="s">
        <v>55</v>
      </c>
      <c r="E371" s="17" t="s">
        <v>51</v>
      </c>
      <c r="F371" s="5">
        <f>ROUND(SUMIF([1]开票!$A$2:$A$1750,[1]申请!AQ371,[1]开票!$C$2:$C$1750),2)</f>
        <v>1113.55</v>
      </c>
      <c r="G371" s="5">
        <f>ROUND(SUMIF([1]开票!$A$2:$A$1750,[1]申请!AQ371,[1]开票!$D$2:$D$1750),2)</f>
        <v>0</v>
      </c>
      <c r="H371" s="5">
        <f>ROUND(SUMIF([1]开票!$A$2:$A$1750,[1]申请!AQ371,[1]开票!$E$2:$E$1750),2)</f>
        <v>66.81</v>
      </c>
      <c r="I371" s="5">
        <f t="shared" si="80"/>
        <v>1180.36</v>
      </c>
      <c r="J371" s="12">
        <v>1180.36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>
        <f t="shared" si="81"/>
        <v>1180.36</v>
      </c>
      <c r="AE371" s="13">
        <f t="shared" si="82"/>
        <v>0</v>
      </c>
      <c r="AF371" s="14">
        <f t="shared" si="83"/>
        <v>0</v>
      </c>
      <c r="AG371" s="13">
        <f t="shared" si="84"/>
        <v>66.81</v>
      </c>
      <c r="AH371" s="13">
        <f t="shared" si="85"/>
        <v>4.68</v>
      </c>
      <c r="AI371" s="13">
        <f t="shared" si="86"/>
        <v>2</v>
      </c>
      <c r="AJ371" s="13">
        <f t="shared" si="87"/>
        <v>1.34</v>
      </c>
      <c r="AK371" s="13">
        <f t="shared" si="88"/>
        <v>0</v>
      </c>
      <c r="AL371" s="13">
        <f t="shared" si="89"/>
        <v>0</v>
      </c>
      <c r="AM371" s="13">
        <f t="shared" si="90"/>
        <v>66.81</v>
      </c>
      <c r="AN371" s="13">
        <f t="shared" si="91"/>
        <v>4.68</v>
      </c>
      <c r="AO371" s="13">
        <f t="shared" si="92"/>
        <v>2</v>
      </c>
      <c r="AP371" s="13">
        <f t="shared" si="93"/>
        <v>1.34</v>
      </c>
      <c r="AQ371" s="13" t="str">
        <f t="shared" si="94"/>
        <v>TJ202512291545000192210</v>
      </c>
      <c r="AR371" s="13">
        <f t="shared" si="95"/>
        <v>0.06</v>
      </c>
    </row>
    <row r="372" spans="1:44">
      <c r="A372" s="17" t="s">
        <v>606</v>
      </c>
      <c r="B372" s="17" t="s">
        <v>45</v>
      </c>
      <c r="C372" s="17" t="s">
        <v>46</v>
      </c>
      <c r="D372" s="17" t="s">
        <v>47</v>
      </c>
      <c r="E372" s="17" t="s">
        <v>48</v>
      </c>
      <c r="F372" s="5">
        <f>ROUND(SUMIF([1]开票!$A$2:$A$1750,[1]申请!AQ372,[1]开票!$C$2:$C$1750),2)</f>
        <v>228.57</v>
      </c>
      <c r="G372" s="5">
        <f>ROUND(SUMIF([1]开票!$A$2:$A$1750,[1]申请!AQ372,[1]开票!$D$2:$D$1750),2)</f>
        <v>33275</v>
      </c>
      <c r="H372" s="5">
        <f>ROUND(SUMIF([1]开票!$A$2:$A$1750,[1]申请!AQ372,[1]开票!$E$2:$E$1750),2)</f>
        <v>11.43</v>
      </c>
      <c r="I372" s="5">
        <f t="shared" si="80"/>
        <v>33515</v>
      </c>
      <c r="J372" s="12"/>
      <c r="K372" s="12">
        <v>240</v>
      </c>
      <c r="L372" s="12"/>
      <c r="M372" s="12"/>
      <c r="N372" s="12"/>
      <c r="O372" s="12"/>
      <c r="P372" s="12"/>
      <c r="Q372" s="12"/>
      <c r="R372" s="12"/>
      <c r="S372" s="12">
        <v>20210.4</v>
      </c>
      <c r="T372" s="12">
        <v>189.6</v>
      </c>
      <c r="U372" s="12">
        <v>8875</v>
      </c>
      <c r="V372" s="12">
        <v>4000</v>
      </c>
      <c r="W372" s="12"/>
      <c r="X372" s="12"/>
      <c r="Y372" s="12"/>
      <c r="Z372" s="12"/>
      <c r="AA372" s="12"/>
      <c r="AB372" s="12"/>
      <c r="AC372" s="12"/>
      <c r="AD372" s="12">
        <f t="shared" si="81"/>
        <v>33515</v>
      </c>
      <c r="AE372" s="13">
        <f t="shared" si="82"/>
        <v>0</v>
      </c>
      <c r="AF372" s="14">
        <f t="shared" si="83"/>
        <v>0</v>
      </c>
      <c r="AG372" s="13">
        <f t="shared" si="84"/>
        <v>11.43</v>
      </c>
      <c r="AH372" s="13">
        <f t="shared" si="85"/>
        <v>0.8</v>
      </c>
      <c r="AI372" s="13">
        <f t="shared" si="86"/>
        <v>0.34</v>
      </c>
      <c r="AJ372" s="13">
        <f t="shared" si="87"/>
        <v>0.23</v>
      </c>
      <c r="AK372" s="13">
        <f t="shared" si="88"/>
        <v>0</v>
      </c>
      <c r="AL372" s="13">
        <f t="shared" si="89"/>
        <v>0</v>
      </c>
      <c r="AM372" s="13">
        <f t="shared" si="90"/>
        <v>11.43</v>
      </c>
      <c r="AN372" s="13">
        <f t="shared" si="91"/>
        <v>0.8</v>
      </c>
      <c r="AO372" s="13">
        <f t="shared" si="92"/>
        <v>0.34</v>
      </c>
      <c r="AP372" s="13">
        <f t="shared" si="93"/>
        <v>0.23</v>
      </c>
      <c r="AQ372" s="13" t="str">
        <f t="shared" si="94"/>
        <v>TJ202512291602000166573</v>
      </c>
      <c r="AR372" s="13">
        <f t="shared" si="95"/>
        <v>0.05</v>
      </c>
    </row>
    <row r="373" spans="1:44">
      <c r="A373" s="17" t="s">
        <v>607</v>
      </c>
      <c r="B373" s="17" t="s">
        <v>295</v>
      </c>
      <c r="C373" s="17" t="s">
        <v>46</v>
      </c>
      <c r="D373" s="17" t="s">
        <v>47</v>
      </c>
      <c r="E373" s="17" t="s">
        <v>48</v>
      </c>
      <c r="F373" s="5">
        <f>ROUND(SUMIF([1]开票!$A$2:$A$1750,[1]申请!AQ373,[1]开票!$C$2:$C$1750),2)</f>
        <v>0</v>
      </c>
      <c r="G373" s="5">
        <f>ROUND(SUMIF([1]开票!$A$2:$A$1750,[1]申请!AQ373,[1]开票!$D$2:$D$1750),2)</f>
        <v>7500</v>
      </c>
      <c r="H373" s="5">
        <f>ROUND(SUMIF([1]开票!$A$2:$A$1750,[1]申请!AQ373,[1]开票!$E$2:$E$1750),2)</f>
        <v>0</v>
      </c>
      <c r="I373" s="5">
        <f t="shared" si="80"/>
        <v>7500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>
        <v>7500</v>
      </c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>
        <f t="shared" si="81"/>
        <v>7500</v>
      </c>
      <c r="AE373" s="13">
        <f t="shared" si="82"/>
        <v>0</v>
      </c>
      <c r="AF373" s="14">
        <f t="shared" si="83"/>
        <v>0</v>
      </c>
      <c r="AG373" s="13">
        <f t="shared" si="84"/>
        <v>0</v>
      </c>
      <c r="AH373" s="13">
        <f t="shared" si="85"/>
        <v>0</v>
      </c>
      <c r="AI373" s="13">
        <f t="shared" si="86"/>
        <v>0</v>
      </c>
      <c r="AJ373" s="13">
        <f t="shared" si="87"/>
        <v>0</v>
      </c>
      <c r="AK373" s="13">
        <f t="shared" si="88"/>
        <v>0</v>
      </c>
      <c r="AL373" s="13">
        <f t="shared" si="89"/>
        <v>0</v>
      </c>
      <c r="AM373" s="13">
        <f t="shared" si="90"/>
        <v>0</v>
      </c>
      <c r="AN373" s="13">
        <f t="shared" si="91"/>
        <v>0</v>
      </c>
      <c r="AO373" s="13">
        <f t="shared" si="92"/>
        <v>0</v>
      </c>
      <c r="AP373" s="13">
        <f t="shared" si="93"/>
        <v>0</v>
      </c>
      <c r="AQ373" s="13" t="str">
        <f t="shared" si="94"/>
        <v>TJ202512291758000132248</v>
      </c>
      <c r="AR373" s="13">
        <f t="shared" si="95"/>
        <v>0.05</v>
      </c>
    </row>
    <row r="374" spans="1:44">
      <c r="A374" s="17" t="s">
        <v>608</v>
      </c>
      <c r="B374" s="17" t="s">
        <v>59</v>
      </c>
      <c r="C374" s="17" t="s">
        <v>54</v>
      </c>
      <c r="D374" s="17" t="s">
        <v>60</v>
      </c>
      <c r="E374" s="17" t="s">
        <v>51</v>
      </c>
      <c r="F374" s="5">
        <f>ROUND(SUMIF([1]开票!$A$2:$A$1750,[1]申请!AQ374,[1]开票!$C$2:$C$1750),2)</f>
        <v>1837.87</v>
      </c>
      <c r="G374" s="5">
        <f>ROUND(SUMIF([1]开票!$A$2:$A$1750,[1]申请!AQ374,[1]开票!$D$2:$D$1750),2)</f>
        <v>0</v>
      </c>
      <c r="H374" s="5">
        <f>ROUND(SUMIF([1]开票!$A$2:$A$1750,[1]申请!AQ374,[1]开票!$E$2:$E$1750),2)</f>
        <v>110.27</v>
      </c>
      <c r="I374" s="5">
        <f t="shared" si="80"/>
        <v>1948.14</v>
      </c>
      <c r="J374" s="12"/>
      <c r="K374" s="12"/>
      <c r="L374" s="12"/>
      <c r="M374" s="12"/>
      <c r="N374" s="12"/>
      <c r="O374" s="12"/>
      <c r="P374" s="12"/>
      <c r="Q374" s="12">
        <v>127.45</v>
      </c>
      <c r="R374" s="12"/>
      <c r="S374" s="12"/>
      <c r="T374" s="12"/>
      <c r="U374" s="12"/>
      <c r="V374" s="12"/>
      <c r="W374" s="12"/>
      <c r="X374" s="12"/>
      <c r="Y374" s="12"/>
      <c r="Z374" s="12">
        <v>1820.69</v>
      </c>
      <c r="AA374" s="12"/>
      <c r="AB374" s="12"/>
      <c r="AC374" s="12"/>
      <c r="AD374" s="12">
        <f t="shared" si="81"/>
        <v>1948.14</v>
      </c>
      <c r="AE374" s="13">
        <f t="shared" si="82"/>
        <v>0</v>
      </c>
      <c r="AF374" s="14">
        <f t="shared" si="83"/>
        <v>0</v>
      </c>
      <c r="AG374" s="13">
        <f t="shared" si="84"/>
        <v>110.27</v>
      </c>
      <c r="AH374" s="13">
        <f t="shared" si="85"/>
        <v>7.72</v>
      </c>
      <c r="AI374" s="13">
        <f t="shared" si="86"/>
        <v>3.31</v>
      </c>
      <c r="AJ374" s="13">
        <f t="shared" si="87"/>
        <v>2.21</v>
      </c>
      <c r="AK374" s="13">
        <f t="shared" si="88"/>
        <v>0</v>
      </c>
      <c r="AL374" s="13">
        <f t="shared" si="89"/>
        <v>0</v>
      </c>
      <c r="AM374" s="13">
        <f t="shared" si="90"/>
        <v>110.27</v>
      </c>
      <c r="AN374" s="13">
        <f t="shared" si="91"/>
        <v>7.72</v>
      </c>
      <c r="AO374" s="13">
        <f t="shared" si="92"/>
        <v>3.31</v>
      </c>
      <c r="AP374" s="13">
        <f t="shared" si="93"/>
        <v>2.21</v>
      </c>
      <c r="AQ374" s="13" t="str">
        <f t="shared" si="94"/>
        <v>TJ202512300926000349918</v>
      </c>
      <c r="AR374" s="13">
        <f t="shared" si="95"/>
        <v>0.06</v>
      </c>
    </row>
    <row r="375" spans="1:44">
      <c r="A375" s="17" t="s">
        <v>609</v>
      </c>
      <c r="B375" s="17" t="s">
        <v>59</v>
      </c>
      <c r="C375" s="17" t="s">
        <v>54</v>
      </c>
      <c r="D375" s="17" t="s">
        <v>60</v>
      </c>
      <c r="E375" s="17" t="s">
        <v>51</v>
      </c>
      <c r="F375" s="5">
        <f>ROUND(SUMIF([1]开票!$A$2:$A$1750,[1]申请!AQ375,[1]开票!$C$2:$C$1750),2)</f>
        <v>2624.53</v>
      </c>
      <c r="G375" s="5">
        <f>ROUND(SUMIF([1]开票!$A$2:$A$1750,[1]申请!AQ375,[1]开票!$D$2:$D$1750),2)</f>
        <v>0</v>
      </c>
      <c r="H375" s="5">
        <f>ROUND(SUMIF([1]开票!$A$2:$A$1750,[1]申请!AQ375,[1]开票!$E$2:$E$1750),2)</f>
        <v>157.47</v>
      </c>
      <c r="I375" s="5">
        <f t="shared" si="80"/>
        <v>2782</v>
      </c>
      <c r="J375" s="12"/>
      <c r="K375" s="12"/>
      <c r="L375" s="12"/>
      <c r="M375" s="12"/>
      <c r="N375" s="12"/>
      <c r="O375" s="12"/>
      <c r="P375" s="12"/>
      <c r="Q375" s="12">
        <v>182</v>
      </c>
      <c r="R375" s="12"/>
      <c r="S375" s="12"/>
      <c r="T375" s="12"/>
      <c r="U375" s="12"/>
      <c r="V375" s="12"/>
      <c r="W375" s="12"/>
      <c r="X375" s="12"/>
      <c r="Y375" s="12"/>
      <c r="Z375" s="12">
        <v>2600</v>
      </c>
      <c r="AA375" s="12"/>
      <c r="AB375" s="12"/>
      <c r="AC375" s="12"/>
      <c r="AD375" s="12">
        <f t="shared" si="81"/>
        <v>2782</v>
      </c>
      <c r="AE375" s="13">
        <f t="shared" si="82"/>
        <v>0</v>
      </c>
      <c r="AF375" s="14">
        <f t="shared" si="83"/>
        <v>0</v>
      </c>
      <c r="AG375" s="13">
        <f t="shared" si="84"/>
        <v>157.47</v>
      </c>
      <c r="AH375" s="13">
        <f t="shared" si="85"/>
        <v>11.02</v>
      </c>
      <c r="AI375" s="13">
        <f t="shared" si="86"/>
        <v>4.72</v>
      </c>
      <c r="AJ375" s="13">
        <f t="shared" si="87"/>
        <v>3.15</v>
      </c>
      <c r="AK375" s="13">
        <f t="shared" si="88"/>
        <v>0</v>
      </c>
      <c r="AL375" s="13">
        <f t="shared" si="89"/>
        <v>0</v>
      </c>
      <c r="AM375" s="13">
        <f t="shared" si="90"/>
        <v>157.47</v>
      </c>
      <c r="AN375" s="13">
        <f t="shared" si="91"/>
        <v>11.02</v>
      </c>
      <c r="AO375" s="13">
        <f t="shared" si="92"/>
        <v>4.72</v>
      </c>
      <c r="AP375" s="13">
        <f t="shared" si="93"/>
        <v>3.15</v>
      </c>
      <c r="AQ375" s="13" t="str">
        <f t="shared" si="94"/>
        <v>TJ202512300929000004088</v>
      </c>
      <c r="AR375" s="13">
        <f t="shared" si="95"/>
        <v>0.06</v>
      </c>
    </row>
    <row r="376" spans="1:44">
      <c r="A376" s="17" t="s">
        <v>610</v>
      </c>
      <c r="B376" s="17" t="s">
        <v>611</v>
      </c>
      <c r="C376" s="17" t="s">
        <v>94</v>
      </c>
      <c r="D376" s="17" t="s">
        <v>95</v>
      </c>
      <c r="E376" s="17" t="s">
        <v>51</v>
      </c>
      <c r="F376" s="5">
        <f>ROUND(SUMIF([1]开票!$A$2:$A$1750,[1]申请!AQ376,[1]开票!$C$2:$C$1750),2)</f>
        <v>2641.51</v>
      </c>
      <c r="G376" s="5">
        <f>ROUND(SUMIF([1]开票!$A$2:$A$1750,[1]申请!AQ376,[1]开票!$D$2:$D$1750),2)</f>
        <v>0</v>
      </c>
      <c r="H376" s="5">
        <f>ROUND(SUMIF([1]开票!$A$2:$A$1750,[1]申请!AQ376,[1]开票!$E$2:$E$1750),2)</f>
        <v>158.49</v>
      </c>
      <c r="I376" s="5">
        <f t="shared" si="80"/>
        <v>2800</v>
      </c>
      <c r="J376" s="12"/>
      <c r="K376" s="12"/>
      <c r="L376" s="12">
        <v>2800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>
        <f t="shared" si="81"/>
        <v>2800</v>
      </c>
      <c r="AE376" s="13">
        <f t="shared" si="82"/>
        <v>0</v>
      </c>
      <c r="AF376" s="14">
        <f t="shared" si="83"/>
        <v>0</v>
      </c>
      <c r="AG376" s="13">
        <f t="shared" si="84"/>
        <v>158.49</v>
      </c>
      <c r="AH376" s="13">
        <f t="shared" si="85"/>
        <v>11.09</v>
      </c>
      <c r="AI376" s="13">
        <f t="shared" si="86"/>
        <v>4.75</v>
      </c>
      <c r="AJ376" s="13">
        <f t="shared" si="87"/>
        <v>3.17</v>
      </c>
      <c r="AK376" s="13">
        <f t="shared" si="88"/>
        <v>0</v>
      </c>
      <c r="AL376" s="13">
        <f t="shared" si="89"/>
        <v>0</v>
      </c>
      <c r="AM376" s="13">
        <f t="shared" si="90"/>
        <v>158.49</v>
      </c>
      <c r="AN376" s="13">
        <f t="shared" si="91"/>
        <v>11.09</v>
      </c>
      <c r="AO376" s="13">
        <f t="shared" si="92"/>
        <v>4.75</v>
      </c>
      <c r="AP376" s="13">
        <f t="shared" si="93"/>
        <v>3.17</v>
      </c>
      <c r="AQ376" s="13" t="str">
        <f t="shared" si="94"/>
        <v>TJ202512300937000326641</v>
      </c>
      <c r="AR376" s="13">
        <f t="shared" si="95"/>
        <v>0.06</v>
      </c>
    </row>
    <row r="377" spans="1:44">
      <c r="A377" s="17" t="s">
        <v>612</v>
      </c>
      <c r="B377" s="17" t="s">
        <v>57</v>
      </c>
      <c r="C377" s="17" t="s">
        <v>54</v>
      </c>
      <c r="D377" s="17" t="s">
        <v>55</v>
      </c>
      <c r="E377" s="17" t="s">
        <v>51</v>
      </c>
      <c r="F377" s="5">
        <f>ROUND(SUMIF([1]开票!$A$2:$A$1750,[1]申请!AQ377,[1]开票!$C$2:$C$1750),2)</f>
        <v>233804.23</v>
      </c>
      <c r="G377" s="5">
        <f>ROUND(SUMIF([1]开票!$A$2:$A$1750,[1]申请!AQ377,[1]开票!$D$2:$D$1750),2)</f>
        <v>0</v>
      </c>
      <c r="H377" s="5">
        <f>ROUND(SUMIF([1]开票!$A$2:$A$1750,[1]申请!AQ377,[1]开票!$E$2:$E$1750),2)</f>
        <v>14028.25</v>
      </c>
      <c r="I377" s="5">
        <f t="shared" si="80"/>
        <v>247832.48</v>
      </c>
      <c r="J377" s="12">
        <v>247832.48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>
        <f t="shared" si="81"/>
        <v>247832.48</v>
      </c>
      <c r="AE377" s="13">
        <f t="shared" si="82"/>
        <v>0</v>
      </c>
      <c r="AF377" s="14">
        <f t="shared" si="83"/>
        <v>0</v>
      </c>
      <c r="AG377" s="13">
        <f t="shared" si="84"/>
        <v>14028.25</v>
      </c>
      <c r="AH377" s="13">
        <f t="shared" si="85"/>
        <v>981.98</v>
      </c>
      <c r="AI377" s="13">
        <f t="shared" si="86"/>
        <v>420.85</v>
      </c>
      <c r="AJ377" s="13">
        <f t="shared" si="87"/>
        <v>280.57</v>
      </c>
      <c r="AK377" s="13">
        <f t="shared" si="88"/>
        <v>0</v>
      </c>
      <c r="AL377" s="13">
        <f t="shared" si="89"/>
        <v>0</v>
      </c>
      <c r="AM377" s="13">
        <f t="shared" si="90"/>
        <v>14028.25</v>
      </c>
      <c r="AN377" s="13">
        <f t="shared" si="91"/>
        <v>981.98</v>
      </c>
      <c r="AO377" s="13">
        <f t="shared" si="92"/>
        <v>420.85</v>
      </c>
      <c r="AP377" s="13">
        <f t="shared" si="93"/>
        <v>280.57</v>
      </c>
      <c r="AQ377" s="13" t="str">
        <f t="shared" si="94"/>
        <v>TJ202512300946000121675</v>
      </c>
      <c r="AR377" s="13">
        <f t="shared" si="95"/>
        <v>0.06</v>
      </c>
    </row>
    <row r="378" spans="1:44">
      <c r="A378" s="17" t="s">
        <v>613</v>
      </c>
      <c r="B378" s="17" t="s">
        <v>614</v>
      </c>
      <c r="C378" s="17" t="s">
        <v>46</v>
      </c>
      <c r="D378" s="17" t="s">
        <v>47</v>
      </c>
      <c r="E378" s="17" t="s">
        <v>48</v>
      </c>
      <c r="F378" s="5">
        <f>ROUND(SUMIF([1]开票!$A$2:$A$1750,[1]申请!AQ378,[1]开票!$C$2:$C$1750),2)</f>
        <v>266.67</v>
      </c>
      <c r="G378" s="5">
        <f>ROUND(SUMIF([1]开票!$A$2:$A$1750,[1]申请!AQ378,[1]开票!$D$2:$D$1750),2)</f>
        <v>28701.65</v>
      </c>
      <c r="H378" s="5">
        <f>ROUND(SUMIF([1]开票!$A$2:$A$1750,[1]申请!AQ378,[1]开票!$E$2:$E$1750),2)</f>
        <v>13.33</v>
      </c>
      <c r="I378" s="5">
        <f t="shared" si="80"/>
        <v>28981.65</v>
      </c>
      <c r="J378" s="12">
        <v>280</v>
      </c>
      <c r="K378" s="12"/>
      <c r="L378" s="12"/>
      <c r="M378" s="12"/>
      <c r="N378" s="12"/>
      <c r="O378" s="12"/>
      <c r="P378" s="12"/>
      <c r="Q378" s="12"/>
      <c r="R378" s="12"/>
      <c r="S378" s="12">
        <v>15436.75</v>
      </c>
      <c r="T378" s="12"/>
      <c r="U378" s="12">
        <v>7828.7</v>
      </c>
      <c r="V378" s="12">
        <v>5336</v>
      </c>
      <c r="W378" s="12"/>
      <c r="X378" s="12">
        <v>100.2</v>
      </c>
      <c r="Y378" s="12"/>
      <c r="Z378" s="12"/>
      <c r="AA378" s="12"/>
      <c r="AB378" s="12"/>
      <c r="AC378" s="12"/>
      <c r="AD378" s="12">
        <f t="shared" si="81"/>
        <v>28981.65</v>
      </c>
      <c r="AE378" s="13">
        <f t="shared" si="82"/>
        <v>0</v>
      </c>
      <c r="AF378" s="14">
        <f t="shared" si="83"/>
        <v>0</v>
      </c>
      <c r="AG378" s="13">
        <f t="shared" si="84"/>
        <v>13.33</v>
      </c>
      <c r="AH378" s="13">
        <f t="shared" si="85"/>
        <v>0.93</v>
      </c>
      <c r="AI378" s="13">
        <f t="shared" si="86"/>
        <v>0.4</v>
      </c>
      <c r="AJ378" s="13">
        <f t="shared" si="87"/>
        <v>0.27</v>
      </c>
      <c r="AK378" s="13">
        <f t="shared" si="88"/>
        <v>0</v>
      </c>
      <c r="AL378" s="13">
        <f t="shared" si="89"/>
        <v>0</v>
      </c>
      <c r="AM378" s="13">
        <f t="shared" si="90"/>
        <v>13.33</v>
      </c>
      <c r="AN378" s="13">
        <f t="shared" si="91"/>
        <v>0.93</v>
      </c>
      <c r="AO378" s="13">
        <f t="shared" si="92"/>
        <v>0.4</v>
      </c>
      <c r="AP378" s="13">
        <f t="shared" si="93"/>
        <v>0.27</v>
      </c>
      <c r="AQ378" s="13" t="str">
        <f t="shared" si="94"/>
        <v>TJ202512300946000347304</v>
      </c>
      <c r="AR378" s="13">
        <f t="shared" si="95"/>
        <v>0.05</v>
      </c>
    </row>
    <row r="379" spans="1:44">
      <c r="A379" s="17" t="s">
        <v>615</v>
      </c>
      <c r="B379" s="17" t="s">
        <v>616</v>
      </c>
      <c r="C379" s="17" t="s">
        <v>46</v>
      </c>
      <c r="D379" s="17" t="s">
        <v>47</v>
      </c>
      <c r="E379" s="17" t="s">
        <v>48</v>
      </c>
      <c r="F379" s="5">
        <f>ROUND(SUMIF([1]开票!$A$2:$A$1750,[1]申请!AQ379,[1]开票!$C$2:$C$1750),2)</f>
        <v>171.43</v>
      </c>
      <c r="G379" s="5">
        <f>ROUND(SUMIF([1]开票!$A$2:$A$1750,[1]申请!AQ379,[1]开票!$D$2:$D$1750),2)</f>
        <v>15759.36</v>
      </c>
      <c r="H379" s="5">
        <f>ROUND(SUMIF([1]开票!$A$2:$A$1750,[1]申请!AQ379,[1]开票!$E$2:$E$1750),2)</f>
        <v>8.57</v>
      </c>
      <c r="I379" s="5">
        <f t="shared" si="80"/>
        <v>15939.36</v>
      </c>
      <c r="J379" s="12">
        <v>180</v>
      </c>
      <c r="K379" s="12"/>
      <c r="L379" s="12"/>
      <c r="M379" s="12"/>
      <c r="N379" s="12"/>
      <c r="O379" s="12"/>
      <c r="P379" s="12"/>
      <c r="Q379" s="12"/>
      <c r="R379" s="12"/>
      <c r="S379" s="12">
        <v>9130.17</v>
      </c>
      <c r="T379" s="12"/>
      <c r="U379" s="12">
        <v>4775.19</v>
      </c>
      <c r="V379" s="12">
        <v>1854</v>
      </c>
      <c r="W379" s="12"/>
      <c r="X379" s="12"/>
      <c r="Y379" s="12"/>
      <c r="Z379" s="12"/>
      <c r="AA379" s="12"/>
      <c r="AB379" s="12"/>
      <c r="AC379" s="12"/>
      <c r="AD379" s="12">
        <f t="shared" si="81"/>
        <v>15939.36</v>
      </c>
      <c r="AE379" s="13">
        <f t="shared" si="82"/>
        <v>0</v>
      </c>
      <c r="AF379" s="14">
        <f t="shared" si="83"/>
        <v>0</v>
      </c>
      <c r="AG379" s="13">
        <f t="shared" si="84"/>
        <v>8.57</v>
      </c>
      <c r="AH379" s="13">
        <f t="shared" si="85"/>
        <v>0.6</v>
      </c>
      <c r="AI379" s="13">
        <f t="shared" si="86"/>
        <v>0.26</v>
      </c>
      <c r="AJ379" s="13">
        <f t="shared" si="87"/>
        <v>0.17</v>
      </c>
      <c r="AK379" s="13">
        <f t="shared" si="88"/>
        <v>0</v>
      </c>
      <c r="AL379" s="13">
        <f t="shared" si="89"/>
        <v>0</v>
      </c>
      <c r="AM379" s="13">
        <f t="shared" si="90"/>
        <v>8.57</v>
      </c>
      <c r="AN379" s="13">
        <f t="shared" si="91"/>
        <v>0.6</v>
      </c>
      <c r="AO379" s="13">
        <f t="shared" si="92"/>
        <v>0.26</v>
      </c>
      <c r="AP379" s="13">
        <f t="shared" si="93"/>
        <v>0.17</v>
      </c>
      <c r="AQ379" s="13" t="str">
        <f t="shared" si="94"/>
        <v>TJ202512300950000585966</v>
      </c>
      <c r="AR379" s="13">
        <f t="shared" si="95"/>
        <v>0.05</v>
      </c>
    </row>
    <row r="380" spans="1:44">
      <c r="A380" s="17" t="s">
        <v>617</v>
      </c>
      <c r="B380" s="17" t="s">
        <v>616</v>
      </c>
      <c r="C380" s="17" t="s">
        <v>46</v>
      </c>
      <c r="D380" s="17" t="s">
        <v>47</v>
      </c>
      <c r="E380" s="17" t="s">
        <v>48</v>
      </c>
      <c r="F380" s="5">
        <f>ROUND(SUMIF([1]开票!$A$2:$A$1750,[1]申请!AQ380,[1]开票!$C$2:$C$1750),2)</f>
        <v>0</v>
      </c>
      <c r="G380" s="5">
        <f>ROUND(SUMIF([1]开票!$A$2:$A$1750,[1]申请!AQ380,[1]开票!$D$2:$D$1750),2)</f>
        <v>1283.33</v>
      </c>
      <c r="H380" s="5">
        <f>ROUND(SUMIF([1]开票!$A$2:$A$1750,[1]申请!AQ380,[1]开票!$E$2:$E$1750),2)</f>
        <v>0</v>
      </c>
      <c r="I380" s="5">
        <f t="shared" si="80"/>
        <v>1283.33</v>
      </c>
      <c r="J380" s="12">
        <v>0</v>
      </c>
      <c r="K380" s="12"/>
      <c r="L380" s="12"/>
      <c r="M380" s="12"/>
      <c r="N380" s="12"/>
      <c r="O380" s="12"/>
      <c r="P380" s="12"/>
      <c r="Q380" s="12"/>
      <c r="R380" s="12"/>
      <c r="S380" s="12">
        <v>1283.33</v>
      </c>
      <c r="T380" s="12"/>
      <c r="U380" s="12">
        <v>0</v>
      </c>
      <c r="V380" s="12">
        <v>0</v>
      </c>
      <c r="W380" s="12"/>
      <c r="X380" s="12"/>
      <c r="Y380" s="12"/>
      <c r="Z380" s="12"/>
      <c r="AA380" s="12"/>
      <c r="AB380" s="12"/>
      <c r="AC380" s="12"/>
      <c r="AD380" s="12">
        <f t="shared" si="81"/>
        <v>1283.33</v>
      </c>
      <c r="AE380" s="13">
        <f t="shared" si="82"/>
        <v>0</v>
      </c>
      <c r="AF380" s="14">
        <f t="shared" si="83"/>
        <v>0</v>
      </c>
      <c r="AG380" s="13">
        <f t="shared" si="84"/>
        <v>0</v>
      </c>
      <c r="AH380" s="13">
        <f t="shared" si="85"/>
        <v>0</v>
      </c>
      <c r="AI380" s="13">
        <f t="shared" si="86"/>
        <v>0</v>
      </c>
      <c r="AJ380" s="13">
        <f t="shared" si="87"/>
        <v>0</v>
      </c>
      <c r="AK380" s="13">
        <f t="shared" si="88"/>
        <v>0</v>
      </c>
      <c r="AL380" s="13">
        <f t="shared" si="89"/>
        <v>0</v>
      </c>
      <c r="AM380" s="13">
        <f t="shared" si="90"/>
        <v>0</v>
      </c>
      <c r="AN380" s="13">
        <f t="shared" si="91"/>
        <v>0</v>
      </c>
      <c r="AO380" s="13">
        <f t="shared" si="92"/>
        <v>0</v>
      </c>
      <c r="AP380" s="13">
        <f t="shared" si="93"/>
        <v>0</v>
      </c>
      <c r="AQ380" s="13" t="str">
        <f t="shared" si="94"/>
        <v>TJ202512300952000257342</v>
      </c>
      <c r="AR380" s="13">
        <f t="shared" si="95"/>
        <v>0.05</v>
      </c>
    </row>
    <row r="381" spans="1:44">
      <c r="A381" s="17" t="s">
        <v>618</v>
      </c>
      <c r="B381" s="17" t="s">
        <v>619</v>
      </c>
      <c r="C381" s="17" t="s">
        <v>54</v>
      </c>
      <c r="D381" s="17" t="s">
        <v>47</v>
      </c>
      <c r="E381" s="17" t="s">
        <v>51</v>
      </c>
      <c r="F381" s="5">
        <f>ROUND(SUMIF([1]开票!$A$2:$A$1750,[1]申请!AQ381,[1]开票!$C$2:$C$1750),2)</f>
        <v>36928.54</v>
      </c>
      <c r="G381" s="5">
        <f>ROUND(SUMIF([1]开票!$A$2:$A$1750,[1]申请!AQ381,[1]开票!$D$2:$D$1750),2)</f>
        <v>0</v>
      </c>
      <c r="H381" s="5">
        <f>ROUND(SUMIF([1]开票!$A$2:$A$1750,[1]申请!AQ381,[1]开票!$E$2:$E$1750),2)</f>
        <v>2215.71</v>
      </c>
      <c r="I381" s="5">
        <f t="shared" si="80"/>
        <v>39144.25</v>
      </c>
      <c r="J381" s="12">
        <v>200</v>
      </c>
      <c r="K381" s="12"/>
      <c r="L381" s="12"/>
      <c r="M381" s="12"/>
      <c r="N381" s="12"/>
      <c r="O381" s="12"/>
      <c r="P381" s="12"/>
      <c r="Q381" s="12"/>
      <c r="R381" s="12"/>
      <c r="S381" s="12">
        <v>21547.2</v>
      </c>
      <c r="T381" s="12">
        <v>1162.8</v>
      </c>
      <c r="U381" s="12">
        <v>11369.39</v>
      </c>
      <c r="V381" s="12">
        <v>2400</v>
      </c>
      <c r="W381" s="12"/>
      <c r="X381" s="12"/>
      <c r="Y381" s="12">
        <v>2464.86</v>
      </c>
      <c r="Z381" s="12"/>
      <c r="AA381" s="12"/>
      <c r="AB381" s="12"/>
      <c r="AC381" s="12"/>
      <c r="AD381" s="12">
        <f t="shared" si="81"/>
        <v>39144.25</v>
      </c>
      <c r="AE381" s="13">
        <f t="shared" si="82"/>
        <v>0</v>
      </c>
      <c r="AF381" s="14">
        <f t="shared" si="83"/>
        <v>0</v>
      </c>
      <c r="AG381" s="13">
        <f t="shared" si="84"/>
        <v>2215.71</v>
      </c>
      <c r="AH381" s="13">
        <f t="shared" si="85"/>
        <v>155.1</v>
      </c>
      <c r="AI381" s="13">
        <f t="shared" si="86"/>
        <v>66.47</v>
      </c>
      <c r="AJ381" s="13">
        <f t="shared" si="87"/>
        <v>44.31</v>
      </c>
      <c r="AK381" s="13">
        <f t="shared" si="88"/>
        <v>2200.76785714286</v>
      </c>
      <c r="AL381" s="13">
        <f t="shared" si="89"/>
        <v>264.09</v>
      </c>
      <c r="AM381" s="13">
        <f t="shared" si="90"/>
        <v>14.94</v>
      </c>
      <c r="AN381" s="13">
        <f t="shared" si="91"/>
        <v>1.05</v>
      </c>
      <c r="AO381" s="13">
        <f t="shared" si="92"/>
        <v>0.45</v>
      </c>
      <c r="AP381" s="13">
        <f t="shared" si="93"/>
        <v>0.29</v>
      </c>
      <c r="AQ381" s="13" t="str">
        <f t="shared" si="94"/>
        <v>TJ202512301014000150156</v>
      </c>
      <c r="AR381" s="13">
        <f t="shared" si="95"/>
        <v>0.06</v>
      </c>
    </row>
    <row r="382" spans="1:44">
      <c r="A382" s="17" t="s">
        <v>620</v>
      </c>
      <c r="B382" s="17" t="s">
        <v>621</v>
      </c>
      <c r="C382" s="17" t="s">
        <v>54</v>
      </c>
      <c r="D382" s="17" t="s">
        <v>55</v>
      </c>
      <c r="E382" s="17" t="s">
        <v>51</v>
      </c>
      <c r="F382" s="5">
        <f>ROUND(SUMIF([1]开票!$A$2:$A$1750,[1]申请!AQ382,[1]开票!$C$2:$C$1750),2)</f>
        <v>556240.77</v>
      </c>
      <c r="G382" s="5">
        <f>ROUND(SUMIF([1]开票!$A$2:$A$1750,[1]申请!AQ382,[1]开票!$D$2:$D$1750),2)</f>
        <v>0</v>
      </c>
      <c r="H382" s="5">
        <f>ROUND(SUMIF([1]开票!$A$2:$A$1750,[1]申请!AQ382,[1]开票!$E$2:$E$1750),2)</f>
        <v>33374.45</v>
      </c>
      <c r="I382" s="5">
        <f t="shared" si="80"/>
        <v>589615.22</v>
      </c>
      <c r="J382" s="12"/>
      <c r="K382" s="12"/>
      <c r="L382" s="12">
        <v>589615.22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>
        <f t="shared" si="81"/>
        <v>589615.22</v>
      </c>
      <c r="AE382" s="13">
        <f t="shared" si="82"/>
        <v>0</v>
      </c>
      <c r="AF382" s="14">
        <f t="shared" si="83"/>
        <v>0</v>
      </c>
      <c r="AG382" s="13">
        <f t="shared" si="84"/>
        <v>33374.45</v>
      </c>
      <c r="AH382" s="13">
        <f t="shared" si="85"/>
        <v>2336.21</v>
      </c>
      <c r="AI382" s="13">
        <f t="shared" si="86"/>
        <v>1001.23</v>
      </c>
      <c r="AJ382" s="13">
        <f t="shared" si="87"/>
        <v>667.49</v>
      </c>
      <c r="AK382" s="13">
        <f t="shared" si="88"/>
        <v>0</v>
      </c>
      <c r="AL382" s="13">
        <f t="shared" si="89"/>
        <v>0</v>
      </c>
      <c r="AM382" s="13">
        <f t="shared" si="90"/>
        <v>33374.45</v>
      </c>
      <c r="AN382" s="13">
        <f t="shared" si="91"/>
        <v>2336.21</v>
      </c>
      <c r="AO382" s="13">
        <f t="shared" si="92"/>
        <v>1001.23</v>
      </c>
      <c r="AP382" s="13">
        <f t="shared" si="93"/>
        <v>667.49</v>
      </c>
      <c r="AQ382" s="13" t="str">
        <f t="shared" si="94"/>
        <v>TJ202512301016000586685</v>
      </c>
      <c r="AR382" s="13">
        <f t="shared" si="95"/>
        <v>0.06</v>
      </c>
    </row>
    <row r="383" spans="1:44">
      <c r="A383" s="17" t="s">
        <v>622</v>
      </c>
      <c r="B383" s="17" t="s">
        <v>619</v>
      </c>
      <c r="C383" s="17" t="s">
        <v>54</v>
      </c>
      <c r="D383" s="17" t="s">
        <v>47</v>
      </c>
      <c r="E383" s="17" t="s">
        <v>51</v>
      </c>
      <c r="F383" s="5">
        <f>ROUND(SUMIF([1]开票!$A$2:$A$1750,[1]申请!AQ383,[1]开票!$C$2:$C$1750),2)</f>
        <v>851.99</v>
      </c>
      <c r="G383" s="5">
        <f>ROUND(SUMIF([1]开票!$A$2:$A$1750,[1]申请!AQ383,[1]开票!$D$2:$D$1750),2)</f>
        <v>0</v>
      </c>
      <c r="H383" s="5">
        <f>ROUND(SUMIF([1]开票!$A$2:$A$1750,[1]申请!AQ383,[1]开票!$E$2:$E$1750),2)</f>
        <v>51.12</v>
      </c>
      <c r="I383" s="5">
        <f t="shared" si="80"/>
        <v>903.11</v>
      </c>
      <c r="J383" s="12">
        <v>26.25</v>
      </c>
      <c r="K383" s="12"/>
      <c r="L383" s="12"/>
      <c r="M383" s="12"/>
      <c r="N383" s="12"/>
      <c r="O383" s="12"/>
      <c r="P383" s="12"/>
      <c r="Q383" s="12"/>
      <c r="R383" s="12"/>
      <c r="S383" s="12">
        <v>820</v>
      </c>
      <c r="T383" s="12">
        <v>0</v>
      </c>
      <c r="U383" s="12">
        <v>0</v>
      </c>
      <c r="V383" s="12">
        <v>0</v>
      </c>
      <c r="W383" s="12"/>
      <c r="X383" s="12"/>
      <c r="Y383" s="12">
        <v>56.86</v>
      </c>
      <c r="Z383" s="12"/>
      <c r="AA383" s="12"/>
      <c r="AB383" s="12"/>
      <c r="AC383" s="12"/>
      <c r="AD383" s="12">
        <f t="shared" si="81"/>
        <v>903.11</v>
      </c>
      <c r="AE383" s="13">
        <f t="shared" si="82"/>
        <v>0</v>
      </c>
      <c r="AF383" s="14">
        <f t="shared" si="83"/>
        <v>0</v>
      </c>
      <c r="AG383" s="13">
        <f t="shared" si="84"/>
        <v>51.12</v>
      </c>
      <c r="AH383" s="13">
        <f t="shared" si="85"/>
        <v>3.58</v>
      </c>
      <c r="AI383" s="13">
        <f t="shared" si="86"/>
        <v>1.53</v>
      </c>
      <c r="AJ383" s="13">
        <f t="shared" si="87"/>
        <v>1.02</v>
      </c>
      <c r="AK383" s="13">
        <f t="shared" si="88"/>
        <v>50.7678571428571</v>
      </c>
      <c r="AL383" s="13">
        <f t="shared" si="89"/>
        <v>6.09</v>
      </c>
      <c r="AM383" s="13">
        <f t="shared" si="90"/>
        <v>0.35</v>
      </c>
      <c r="AN383" s="13">
        <f t="shared" si="91"/>
        <v>0.02</v>
      </c>
      <c r="AO383" s="13">
        <f t="shared" si="92"/>
        <v>0.01</v>
      </c>
      <c r="AP383" s="13">
        <f t="shared" si="93"/>
        <v>0.01</v>
      </c>
      <c r="AQ383" s="13" t="str">
        <f t="shared" si="94"/>
        <v>TJ202512301020000572997</v>
      </c>
      <c r="AR383" s="13">
        <f t="shared" si="95"/>
        <v>0.06</v>
      </c>
    </row>
    <row r="384" spans="1:44">
      <c r="A384" s="17" t="s">
        <v>623</v>
      </c>
      <c r="B384" s="17" t="s">
        <v>624</v>
      </c>
      <c r="C384" s="17" t="s">
        <v>46</v>
      </c>
      <c r="D384" s="17" t="s">
        <v>47</v>
      </c>
      <c r="E384" s="17" t="s">
        <v>184</v>
      </c>
      <c r="F384" s="5">
        <f>ROUND(SUMIF([1]开票!$A$2:$A$1750,[1]申请!AQ384,[1]开票!$C$2:$C$1750),2)</f>
        <v>114.29</v>
      </c>
      <c r="G384" s="5">
        <f>ROUND(SUMIF([1]开票!$A$2:$A$1750,[1]申请!AQ384,[1]开票!$D$2:$D$1750),2)</f>
        <v>9312.97</v>
      </c>
      <c r="H384" s="5">
        <f>ROUND(SUMIF([1]开票!$A$2:$A$1750,[1]申请!AQ384,[1]开票!$E$2:$E$1750),2)</f>
        <v>5.71</v>
      </c>
      <c r="I384" s="5">
        <f t="shared" si="80"/>
        <v>9432.97</v>
      </c>
      <c r="J384" s="12">
        <v>120</v>
      </c>
      <c r="K384" s="12"/>
      <c r="L384" s="12"/>
      <c r="M384" s="12"/>
      <c r="N384" s="12"/>
      <c r="O384" s="12"/>
      <c r="P384" s="12"/>
      <c r="Q384" s="12"/>
      <c r="R384" s="12"/>
      <c r="S384" s="12">
        <v>7332.78</v>
      </c>
      <c r="T384" s="12">
        <v>72.15</v>
      </c>
      <c r="U384" s="12">
        <v>1858.04</v>
      </c>
      <c r="V384" s="12"/>
      <c r="W384" s="12"/>
      <c r="X384" s="12">
        <v>50</v>
      </c>
      <c r="Y384" s="12"/>
      <c r="Z384" s="12"/>
      <c r="AA384" s="12"/>
      <c r="AB384" s="12"/>
      <c r="AC384" s="12"/>
      <c r="AD384" s="12">
        <f t="shared" si="81"/>
        <v>9432.97</v>
      </c>
      <c r="AE384" s="13">
        <f t="shared" si="82"/>
        <v>0</v>
      </c>
      <c r="AF384" s="14">
        <f t="shared" si="83"/>
        <v>0</v>
      </c>
      <c r="AG384" s="13">
        <f t="shared" si="84"/>
        <v>5.71</v>
      </c>
      <c r="AH384" s="13">
        <f t="shared" si="85"/>
        <v>0.4</v>
      </c>
      <c r="AI384" s="13">
        <f t="shared" si="86"/>
        <v>0.17</v>
      </c>
      <c r="AJ384" s="13">
        <f t="shared" si="87"/>
        <v>0.11</v>
      </c>
      <c r="AK384" s="13">
        <f t="shared" si="88"/>
        <v>0</v>
      </c>
      <c r="AL384" s="13">
        <f t="shared" si="89"/>
        <v>0</v>
      </c>
      <c r="AM384" s="13">
        <f t="shared" si="90"/>
        <v>5.71</v>
      </c>
      <c r="AN384" s="13">
        <f t="shared" si="91"/>
        <v>0.4</v>
      </c>
      <c r="AO384" s="13">
        <f t="shared" si="92"/>
        <v>0.17</v>
      </c>
      <c r="AP384" s="13">
        <f t="shared" si="93"/>
        <v>0.11</v>
      </c>
      <c r="AQ384" s="13" t="str">
        <f t="shared" si="94"/>
        <v>TJ202512301036000086917</v>
      </c>
      <c r="AR384" s="13">
        <f t="shared" si="95"/>
        <v>0.05</v>
      </c>
    </row>
    <row r="385" spans="1:44">
      <c r="A385" s="17" t="s">
        <v>625</v>
      </c>
      <c r="B385" s="17" t="s">
        <v>626</v>
      </c>
      <c r="C385" s="17" t="s">
        <v>46</v>
      </c>
      <c r="D385" s="17" t="s">
        <v>47</v>
      </c>
      <c r="E385" s="17" t="s">
        <v>48</v>
      </c>
      <c r="F385" s="5">
        <f>ROUND(SUMIF([1]开票!$A$2:$A$1750,[1]申请!AQ385,[1]开票!$C$2:$C$1750),2)</f>
        <v>0</v>
      </c>
      <c r="G385" s="5">
        <f>ROUND(SUMIF([1]开票!$A$2:$A$1750,[1]申请!AQ385,[1]开票!$D$2:$D$1750),2)</f>
        <v>408.86</v>
      </c>
      <c r="H385" s="5">
        <f>ROUND(SUMIF([1]开票!$A$2:$A$1750,[1]申请!AQ385,[1]开票!$E$2:$E$1750),2)</f>
        <v>0</v>
      </c>
      <c r="I385" s="5">
        <f t="shared" si="80"/>
        <v>408.86</v>
      </c>
      <c r="J385" s="12">
        <v>0</v>
      </c>
      <c r="K385" s="12"/>
      <c r="L385" s="12"/>
      <c r="M385" s="12"/>
      <c r="N385" s="12"/>
      <c r="O385" s="12"/>
      <c r="P385" s="12"/>
      <c r="Q385" s="12"/>
      <c r="R385" s="12"/>
      <c r="S385" s="12">
        <v>0</v>
      </c>
      <c r="T385" s="12"/>
      <c r="U385" s="12">
        <v>408.86</v>
      </c>
      <c r="V385" s="12">
        <v>0</v>
      </c>
      <c r="W385" s="12"/>
      <c r="X385" s="12">
        <v>0</v>
      </c>
      <c r="Y385" s="12"/>
      <c r="Z385" s="12"/>
      <c r="AA385" s="12"/>
      <c r="AB385" s="12"/>
      <c r="AC385" s="12"/>
      <c r="AD385" s="12">
        <f t="shared" si="81"/>
        <v>408.86</v>
      </c>
      <c r="AE385" s="13">
        <f t="shared" si="82"/>
        <v>0</v>
      </c>
      <c r="AF385" s="14">
        <f t="shared" si="83"/>
        <v>0</v>
      </c>
      <c r="AG385" s="13">
        <f t="shared" si="84"/>
        <v>0</v>
      </c>
      <c r="AH385" s="13">
        <f t="shared" si="85"/>
        <v>0</v>
      </c>
      <c r="AI385" s="13">
        <f t="shared" si="86"/>
        <v>0</v>
      </c>
      <c r="AJ385" s="13">
        <f t="shared" si="87"/>
        <v>0</v>
      </c>
      <c r="AK385" s="13">
        <f t="shared" si="88"/>
        <v>0</v>
      </c>
      <c r="AL385" s="13">
        <f t="shared" si="89"/>
        <v>0</v>
      </c>
      <c r="AM385" s="13">
        <f t="shared" si="90"/>
        <v>0</v>
      </c>
      <c r="AN385" s="13">
        <f t="shared" si="91"/>
        <v>0</v>
      </c>
      <c r="AO385" s="13">
        <f t="shared" si="92"/>
        <v>0</v>
      </c>
      <c r="AP385" s="13">
        <f t="shared" si="93"/>
        <v>0</v>
      </c>
      <c r="AQ385" s="13" t="str">
        <f t="shared" si="94"/>
        <v>TJ202512301040000128940</v>
      </c>
      <c r="AR385" s="13">
        <f t="shared" si="95"/>
        <v>0.05</v>
      </c>
    </row>
    <row r="386" spans="1:44">
      <c r="A386" s="17" t="s">
        <v>627</v>
      </c>
      <c r="B386" s="17" t="s">
        <v>59</v>
      </c>
      <c r="C386" s="17" t="s">
        <v>54</v>
      </c>
      <c r="D386" s="17" t="s">
        <v>60</v>
      </c>
      <c r="E386" s="17" t="s">
        <v>51</v>
      </c>
      <c r="F386" s="5">
        <f>ROUND(SUMIF([1]开票!$A$2:$A$1750,[1]申请!AQ386,[1]开票!$C$2:$C$1750),2)</f>
        <v>4981.13</v>
      </c>
      <c r="G386" s="5">
        <f>ROUND(SUMIF([1]开票!$A$2:$A$1750,[1]申请!AQ386,[1]开票!$D$2:$D$1750),2)</f>
        <v>0</v>
      </c>
      <c r="H386" s="5">
        <f>ROUND(SUMIF([1]开票!$A$2:$A$1750,[1]申请!AQ386,[1]开票!$E$2:$E$1750),2)</f>
        <v>298.87</v>
      </c>
      <c r="I386" s="5">
        <f t="shared" ref="I386:I449" si="96">SUM(F386:H386)</f>
        <v>5280</v>
      </c>
      <c r="J386" s="12"/>
      <c r="K386" s="12"/>
      <c r="L386" s="12"/>
      <c r="M386" s="12"/>
      <c r="N386" s="12"/>
      <c r="O386" s="12"/>
      <c r="P386" s="12"/>
      <c r="Q386" s="12">
        <v>345.42</v>
      </c>
      <c r="R386" s="12"/>
      <c r="S386" s="12"/>
      <c r="T386" s="12"/>
      <c r="U386" s="12"/>
      <c r="V386" s="12"/>
      <c r="W386" s="12"/>
      <c r="X386" s="12"/>
      <c r="Y386" s="12"/>
      <c r="Z386" s="12">
        <v>4934.58</v>
      </c>
      <c r="AA386" s="12"/>
      <c r="AB386" s="12"/>
      <c r="AC386" s="12"/>
      <c r="AD386" s="12">
        <f t="shared" ref="AD386:AD449" si="97">SUM(J386:AC386)</f>
        <v>5280</v>
      </c>
      <c r="AE386" s="13">
        <f t="shared" ref="AE386:AE449" si="98">AD386-SUM(J386:AC386)</f>
        <v>0</v>
      </c>
      <c r="AF386" s="14">
        <f t="shared" ref="AF386:AF449" si="99">AD386-I386</f>
        <v>0</v>
      </c>
      <c r="AG386" s="13">
        <f t="shared" ref="AG386:AG449" si="100">ROUND(H386,2)</f>
        <v>298.87</v>
      </c>
      <c r="AH386" s="13">
        <f t="shared" ref="AH386:AH449" si="101">ROUND(AG386*0.07,2)</f>
        <v>20.92</v>
      </c>
      <c r="AI386" s="13">
        <f t="shared" ref="AI386:AI449" si="102">ROUND(AG386*0.03,2)</f>
        <v>8.97</v>
      </c>
      <c r="AJ386" s="13">
        <f t="shared" ref="AJ386:AJ449" si="103">ROUND(AG386*0.02,2)</f>
        <v>5.98</v>
      </c>
      <c r="AK386" s="13">
        <f t="shared" ref="AK386:AK449" si="104">IF(AR386,Y386/(AR386*1.12)*AR386,0)</f>
        <v>0</v>
      </c>
      <c r="AL386" s="13">
        <f t="shared" ref="AL386:AL449" si="105">ROUND(Y386-AK386,2)</f>
        <v>0</v>
      </c>
      <c r="AM386" s="13">
        <f t="shared" ref="AM386:AM449" si="106">ROUND(AG386-AK386,2)</f>
        <v>298.87</v>
      </c>
      <c r="AN386" s="13">
        <f t="shared" ref="AN386:AN449" si="107">ROUND(AM386*0.07,2)</f>
        <v>20.92</v>
      </c>
      <c r="AO386" s="13">
        <f t="shared" ref="AO386:AO449" si="108">ROUND(AM386*0.03,2)</f>
        <v>8.97</v>
      </c>
      <c r="AP386" s="13">
        <f t="shared" ref="AP386:AP449" si="109">ROUND(AH386+AI386+AJ386-AL386-AN386-AO386,2)</f>
        <v>5.98</v>
      </c>
      <c r="AQ386" s="13" t="str">
        <f t="shared" ref="AQ386:AQ449" si="110">"TJ"&amp;A386</f>
        <v>TJ202512301111000301430</v>
      </c>
      <c r="AR386" s="13">
        <f t="shared" ref="AR386:AR428" si="111">IF(E386="无全额",0,MID(E386,4,2)*1)</f>
        <v>0.06</v>
      </c>
    </row>
    <row r="387" spans="1:44">
      <c r="A387" s="17" t="s">
        <v>628</v>
      </c>
      <c r="B387" s="17" t="s">
        <v>629</v>
      </c>
      <c r="C387" s="17" t="s">
        <v>46</v>
      </c>
      <c r="D387" s="17" t="s">
        <v>47</v>
      </c>
      <c r="E387" s="17" t="s">
        <v>48</v>
      </c>
      <c r="F387" s="5">
        <f>ROUND(SUMIF([1]开票!$A$2:$A$1750,[1]申请!AQ387,[1]开票!$C$2:$C$1750),2)</f>
        <v>114.29</v>
      </c>
      <c r="G387" s="5">
        <f>ROUND(SUMIF([1]开票!$A$2:$A$1750,[1]申请!AQ387,[1]开票!$D$2:$D$1750),2)</f>
        <v>9637.25</v>
      </c>
      <c r="H387" s="5">
        <f>ROUND(SUMIF([1]开票!$A$2:$A$1750,[1]申请!AQ387,[1]开票!$E$2:$E$1750),2)</f>
        <v>5.71</v>
      </c>
      <c r="I387" s="5">
        <f t="shared" si="96"/>
        <v>9757.25</v>
      </c>
      <c r="J387" s="12">
        <v>120</v>
      </c>
      <c r="K387" s="12"/>
      <c r="L387" s="12"/>
      <c r="M387" s="12"/>
      <c r="N387" s="12"/>
      <c r="O387" s="12"/>
      <c r="P387" s="12"/>
      <c r="Q387" s="12"/>
      <c r="R387" s="12"/>
      <c r="S387" s="12">
        <v>5762.45</v>
      </c>
      <c r="T387" s="12">
        <v>23.58</v>
      </c>
      <c r="U387" s="12">
        <v>3167.22</v>
      </c>
      <c r="V387" s="12">
        <v>620</v>
      </c>
      <c r="W387" s="12"/>
      <c r="X387" s="12">
        <v>64</v>
      </c>
      <c r="Y387" s="12"/>
      <c r="Z387" s="12"/>
      <c r="AA387" s="12"/>
      <c r="AB387" s="12"/>
      <c r="AC387" s="12"/>
      <c r="AD387" s="12">
        <f t="shared" si="97"/>
        <v>9757.25</v>
      </c>
      <c r="AE387" s="13">
        <f t="shared" si="98"/>
        <v>0</v>
      </c>
      <c r="AF387" s="14">
        <f t="shared" si="99"/>
        <v>0</v>
      </c>
      <c r="AG387" s="13">
        <f t="shared" si="100"/>
        <v>5.71</v>
      </c>
      <c r="AH387" s="13">
        <f t="shared" si="101"/>
        <v>0.4</v>
      </c>
      <c r="AI387" s="13">
        <f t="shared" si="102"/>
        <v>0.17</v>
      </c>
      <c r="AJ387" s="13">
        <f t="shared" si="103"/>
        <v>0.11</v>
      </c>
      <c r="AK387" s="13">
        <f t="shared" si="104"/>
        <v>0</v>
      </c>
      <c r="AL387" s="13">
        <f t="shared" si="105"/>
        <v>0</v>
      </c>
      <c r="AM387" s="13">
        <f t="shared" si="106"/>
        <v>5.71</v>
      </c>
      <c r="AN387" s="13">
        <f t="shared" si="107"/>
        <v>0.4</v>
      </c>
      <c r="AO387" s="13">
        <f t="shared" si="108"/>
        <v>0.17</v>
      </c>
      <c r="AP387" s="13">
        <f t="shared" si="109"/>
        <v>0.11</v>
      </c>
      <c r="AQ387" s="13" t="str">
        <f t="shared" si="110"/>
        <v>TJ202512301116000121485</v>
      </c>
      <c r="AR387" s="13">
        <f t="shared" si="111"/>
        <v>0.05</v>
      </c>
    </row>
    <row r="388" spans="1:44">
      <c r="A388" s="17" t="s">
        <v>630</v>
      </c>
      <c r="B388" s="17" t="s">
        <v>631</v>
      </c>
      <c r="C388" s="17" t="s">
        <v>46</v>
      </c>
      <c r="D388" s="17" t="s">
        <v>47</v>
      </c>
      <c r="E388" s="17" t="s">
        <v>109</v>
      </c>
      <c r="F388" s="5">
        <f>ROUND(SUMIF([1]开票!$A$2:$A$1750,[1]申请!AQ388,[1]开票!$C$2:$C$1750),2)</f>
        <v>832.08</v>
      </c>
      <c r="G388" s="5">
        <f>ROUND(SUMIF([1]开票!$A$2:$A$1750,[1]申请!AQ388,[1]开票!$D$2:$D$1750),2)</f>
        <v>0</v>
      </c>
      <c r="H388" s="5">
        <f>ROUND(SUMIF([1]开票!$A$2:$A$1750,[1]申请!AQ388,[1]开票!$E$2:$E$1750),2)</f>
        <v>49.92</v>
      </c>
      <c r="I388" s="5">
        <f t="shared" si="96"/>
        <v>882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>
        <v>882</v>
      </c>
      <c r="X388" s="12"/>
      <c r="Y388" s="12"/>
      <c r="Z388" s="12"/>
      <c r="AA388" s="12"/>
      <c r="AB388" s="12"/>
      <c r="AC388" s="12"/>
      <c r="AD388" s="12">
        <f t="shared" si="97"/>
        <v>882</v>
      </c>
      <c r="AE388" s="13">
        <f t="shared" si="98"/>
        <v>0</v>
      </c>
      <c r="AF388" s="14">
        <f t="shared" si="99"/>
        <v>0</v>
      </c>
      <c r="AG388" s="13">
        <f t="shared" si="100"/>
        <v>49.92</v>
      </c>
      <c r="AH388" s="13">
        <f t="shared" si="101"/>
        <v>3.49</v>
      </c>
      <c r="AI388" s="13">
        <f t="shared" si="102"/>
        <v>1.5</v>
      </c>
      <c r="AJ388" s="13">
        <f t="shared" si="103"/>
        <v>1</v>
      </c>
      <c r="AK388" s="13">
        <f t="shared" si="104"/>
        <v>0</v>
      </c>
      <c r="AL388" s="13">
        <f t="shared" si="105"/>
        <v>0</v>
      </c>
      <c r="AM388" s="13">
        <f t="shared" si="106"/>
        <v>49.92</v>
      </c>
      <c r="AN388" s="13">
        <f t="shared" si="107"/>
        <v>3.49</v>
      </c>
      <c r="AO388" s="13">
        <f t="shared" si="108"/>
        <v>1.5</v>
      </c>
      <c r="AP388" s="13">
        <f t="shared" si="109"/>
        <v>1</v>
      </c>
      <c r="AQ388" s="13" t="str">
        <f t="shared" si="110"/>
        <v>TJ202512301119000440803</v>
      </c>
      <c r="AR388" s="13">
        <f t="shared" si="111"/>
        <v>0.06</v>
      </c>
    </row>
    <row r="389" spans="1:44">
      <c r="A389" s="17" t="s">
        <v>632</v>
      </c>
      <c r="B389" s="17" t="s">
        <v>631</v>
      </c>
      <c r="C389" s="17" t="s">
        <v>46</v>
      </c>
      <c r="D389" s="17" t="s">
        <v>47</v>
      </c>
      <c r="E389" s="17" t="s">
        <v>48</v>
      </c>
      <c r="F389" s="5">
        <f>ROUND(SUMIF([1]开票!$A$2:$A$1750,[1]申请!AQ389,[1]开票!$C$2:$C$1750),2)</f>
        <v>900</v>
      </c>
      <c r="G389" s="5">
        <f>ROUND(SUMIF([1]开票!$A$2:$A$1750,[1]申请!AQ389,[1]开票!$D$2:$D$1750),2)</f>
        <v>47684.76</v>
      </c>
      <c r="H389" s="5">
        <f>ROUND(SUMIF([1]开票!$A$2:$A$1750,[1]申请!AQ389,[1]开票!$E$2:$E$1750),2)</f>
        <v>45</v>
      </c>
      <c r="I389" s="5">
        <f t="shared" si="96"/>
        <v>48629.76</v>
      </c>
      <c r="J389" s="12">
        <v>945</v>
      </c>
      <c r="K389" s="12"/>
      <c r="L389" s="12"/>
      <c r="M389" s="12"/>
      <c r="N389" s="12"/>
      <c r="O389" s="12"/>
      <c r="P389" s="12"/>
      <c r="Q389" s="12"/>
      <c r="R389" s="12"/>
      <c r="S389" s="12">
        <v>37790.34</v>
      </c>
      <c r="T389" s="12">
        <v>0</v>
      </c>
      <c r="U389" s="12">
        <v>9894.42</v>
      </c>
      <c r="V389" s="12"/>
      <c r="W389" s="12"/>
      <c r="X389" s="12"/>
      <c r="Y389" s="12"/>
      <c r="Z389" s="12"/>
      <c r="AA389" s="12"/>
      <c r="AB389" s="12"/>
      <c r="AC389" s="12"/>
      <c r="AD389" s="12">
        <f t="shared" si="97"/>
        <v>48629.76</v>
      </c>
      <c r="AE389" s="13">
        <f t="shared" si="98"/>
        <v>0</v>
      </c>
      <c r="AF389" s="14">
        <f t="shared" si="99"/>
        <v>0</v>
      </c>
      <c r="AG389" s="13">
        <f t="shared" si="100"/>
        <v>45</v>
      </c>
      <c r="AH389" s="13">
        <f t="shared" si="101"/>
        <v>3.15</v>
      </c>
      <c r="AI389" s="13">
        <f t="shared" si="102"/>
        <v>1.35</v>
      </c>
      <c r="AJ389" s="13">
        <f t="shared" si="103"/>
        <v>0.9</v>
      </c>
      <c r="AK389" s="13">
        <f t="shared" si="104"/>
        <v>0</v>
      </c>
      <c r="AL389" s="13">
        <f t="shared" si="105"/>
        <v>0</v>
      </c>
      <c r="AM389" s="13">
        <f t="shared" si="106"/>
        <v>45</v>
      </c>
      <c r="AN389" s="13">
        <f t="shared" si="107"/>
        <v>3.15</v>
      </c>
      <c r="AO389" s="13">
        <f t="shared" si="108"/>
        <v>1.35</v>
      </c>
      <c r="AP389" s="13">
        <f t="shared" si="109"/>
        <v>0.9</v>
      </c>
      <c r="AQ389" s="13" t="str">
        <f t="shared" si="110"/>
        <v>TJ202512301122000378608</v>
      </c>
      <c r="AR389" s="13">
        <f t="shared" si="111"/>
        <v>0.05</v>
      </c>
    </row>
    <row r="390" spans="1:44">
      <c r="A390" s="17" t="s">
        <v>633</v>
      </c>
      <c r="B390" s="17" t="s">
        <v>634</v>
      </c>
      <c r="C390" s="17" t="s">
        <v>46</v>
      </c>
      <c r="D390" s="17" t="s">
        <v>47</v>
      </c>
      <c r="E390" s="17" t="s">
        <v>77</v>
      </c>
      <c r="F390" s="5">
        <f>ROUND(SUMIF([1]开票!$A$2:$A$1750,[1]申请!AQ390,[1]开票!$C$2:$C$1750),2)</f>
        <v>152.38</v>
      </c>
      <c r="G390" s="5">
        <f>ROUND(SUMIF([1]开票!$A$2:$A$1750,[1]申请!AQ390,[1]开票!$D$2:$D$1750),2)</f>
        <v>15441.84</v>
      </c>
      <c r="H390" s="5">
        <f>ROUND(SUMIF([1]开票!$A$2:$A$1750,[1]申请!AQ390,[1]开票!$E$2:$E$1750),2)</f>
        <v>7.62</v>
      </c>
      <c r="I390" s="5">
        <f t="shared" si="96"/>
        <v>15601.84</v>
      </c>
      <c r="J390" s="12">
        <v>160</v>
      </c>
      <c r="K390" s="12"/>
      <c r="L390" s="12"/>
      <c r="M390" s="12"/>
      <c r="N390" s="12"/>
      <c r="O390" s="12"/>
      <c r="P390" s="12"/>
      <c r="Q390" s="12"/>
      <c r="R390" s="12"/>
      <c r="S390" s="12">
        <v>10000</v>
      </c>
      <c r="T390" s="12">
        <v>0</v>
      </c>
      <c r="U390" s="12">
        <v>4177.96</v>
      </c>
      <c r="V390" s="12">
        <v>1200</v>
      </c>
      <c r="W390" s="12"/>
      <c r="X390" s="12">
        <v>63.88</v>
      </c>
      <c r="Y390" s="12"/>
      <c r="Z390" s="12"/>
      <c r="AA390" s="12"/>
      <c r="AB390" s="12"/>
      <c r="AC390" s="12"/>
      <c r="AD390" s="12">
        <f t="shared" si="97"/>
        <v>15601.84</v>
      </c>
      <c r="AE390" s="13">
        <f t="shared" si="98"/>
        <v>0</v>
      </c>
      <c r="AF390" s="14">
        <f t="shared" si="99"/>
        <v>0</v>
      </c>
      <c r="AG390" s="13">
        <f t="shared" si="100"/>
        <v>7.62</v>
      </c>
      <c r="AH390" s="13">
        <f t="shared" si="101"/>
        <v>0.53</v>
      </c>
      <c r="AI390" s="13">
        <f t="shared" si="102"/>
        <v>0.23</v>
      </c>
      <c r="AJ390" s="13">
        <f t="shared" si="103"/>
        <v>0.15</v>
      </c>
      <c r="AK390" s="13">
        <f t="shared" si="104"/>
        <v>0</v>
      </c>
      <c r="AL390" s="13">
        <f t="shared" si="105"/>
        <v>0</v>
      </c>
      <c r="AM390" s="13">
        <f t="shared" si="106"/>
        <v>7.62</v>
      </c>
      <c r="AN390" s="13">
        <f t="shared" si="107"/>
        <v>0.53</v>
      </c>
      <c r="AO390" s="13">
        <f t="shared" si="108"/>
        <v>0.23</v>
      </c>
      <c r="AP390" s="13">
        <f t="shared" si="109"/>
        <v>0.15</v>
      </c>
      <c r="AQ390" s="13" t="str">
        <f t="shared" si="110"/>
        <v>TJ202512301127000238472</v>
      </c>
      <c r="AR390" s="13">
        <f t="shared" si="111"/>
        <v>0.05</v>
      </c>
    </row>
    <row r="391" spans="1:44">
      <c r="A391" s="17" t="s">
        <v>635</v>
      </c>
      <c r="B391" s="17" t="s">
        <v>636</v>
      </c>
      <c r="C391" s="17" t="s">
        <v>54</v>
      </c>
      <c r="D391" s="17" t="s">
        <v>47</v>
      </c>
      <c r="E391" s="17" t="s">
        <v>51</v>
      </c>
      <c r="F391" s="5">
        <f>ROUND(SUMIF([1]开票!$A$2:$A$1750,[1]申请!AQ391,[1]开票!$C$2:$C$1750),2)</f>
        <v>2111088.3</v>
      </c>
      <c r="G391" s="5">
        <f>ROUND(SUMIF([1]开票!$A$2:$A$1750,[1]申请!AQ391,[1]开票!$D$2:$D$1750),2)</f>
        <v>0</v>
      </c>
      <c r="H391" s="5">
        <f>ROUND(SUMIF([1]开票!$A$2:$A$1750,[1]申请!AQ391,[1]开票!$E$2:$E$1750),2)</f>
        <v>126665.3</v>
      </c>
      <c r="I391" s="5">
        <f t="shared" si="96"/>
        <v>2237753.6</v>
      </c>
      <c r="J391" s="12">
        <v>34770</v>
      </c>
      <c r="K391" s="12"/>
      <c r="L391" s="12"/>
      <c r="M391" s="12"/>
      <c r="N391" s="12"/>
      <c r="O391" s="12"/>
      <c r="P391" s="12"/>
      <c r="Q391" s="12"/>
      <c r="R391" s="12"/>
      <c r="S391" s="12">
        <v>1895476.5</v>
      </c>
      <c r="T391" s="12">
        <v>7580.44</v>
      </c>
      <c r="U391" s="12">
        <v>145758.96</v>
      </c>
      <c r="V391" s="12"/>
      <c r="W391" s="12">
        <v>9275</v>
      </c>
      <c r="X391" s="12">
        <v>3984.68</v>
      </c>
      <c r="Y391" s="12">
        <v>140908.02</v>
      </c>
      <c r="Z391" s="12"/>
      <c r="AA391" s="12"/>
      <c r="AB391" s="12"/>
      <c r="AC391" s="12"/>
      <c r="AD391" s="12">
        <f t="shared" si="97"/>
        <v>2237753.6</v>
      </c>
      <c r="AE391" s="13">
        <f t="shared" si="98"/>
        <v>0</v>
      </c>
      <c r="AF391" s="14">
        <f t="shared" si="99"/>
        <v>0</v>
      </c>
      <c r="AG391" s="13">
        <f t="shared" si="100"/>
        <v>126665.3</v>
      </c>
      <c r="AH391" s="13">
        <f t="shared" si="101"/>
        <v>8866.57</v>
      </c>
      <c r="AI391" s="13">
        <f t="shared" si="102"/>
        <v>3799.96</v>
      </c>
      <c r="AJ391" s="13">
        <f t="shared" si="103"/>
        <v>2533.31</v>
      </c>
      <c r="AK391" s="13">
        <f t="shared" si="104"/>
        <v>125810.732142857</v>
      </c>
      <c r="AL391" s="13">
        <f t="shared" si="105"/>
        <v>15097.29</v>
      </c>
      <c r="AM391" s="13">
        <f t="shared" si="106"/>
        <v>854.57</v>
      </c>
      <c r="AN391" s="13">
        <f t="shared" si="107"/>
        <v>59.82</v>
      </c>
      <c r="AO391" s="13">
        <f t="shared" si="108"/>
        <v>25.64</v>
      </c>
      <c r="AP391" s="13">
        <f t="shared" si="109"/>
        <v>17.09</v>
      </c>
      <c r="AQ391" s="13" t="str">
        <f t="shared" si="110"/>
        <v>TJ202512301140000224673</v>
      </c>
      <c r="AR391" s="13">
        <f t="shared" si="111"/>
        <v>0.06</v>
      </c>
    </row>
    <row r="392" spans="1:44">
      <c r="A392" s="17" t="s">
        <v>637</v>
      </c>
      <c r="B392" s="17" t="s">
        <v>638</v>
      </c>
      <c r="C392" s="17" t="s">
        <v>46</v>
      </c>
      <c r="D392" s="17" t="s">
        <v>47</v>
      </c>
      <c r="E392" s="17" t="s">
        <v>48</v>
      </c>
      <c r="F392" s="5">
        <f>ROUND(SUMIF([1]开票!$A$2:$A$1750,[1]申请!AQ392,[1]开票!$C$2:$C$1750),2)</f>
        <v>214.29</v>
      </c>
      <c r="G392" s="5">
        <f>ROUND(SUMIF([1]开票!$A$2:$A$1750,[1]申请!AQ392,[1]开票!$D$2:$D$1750),2)</f>
        <v>27568.95</v>
      </c>
      <c r="H392" s="5">
        <f>ROUND(SUMIF([1]开票!$A$2:$A$1750,[1]申请!AQ392,[1]开票!$E$2:$E$1750),2)</f>
        <v>10.71</v>
      </c>
      <c r="I392" s="5">
        <f t="shared" si="96"/>
        <v>27793.95</v>
      </c>
      <c r="J392" s="12">
        <v>225</v>
      </c>
      <c r="K392" s="12"/>
      <c r="L392" s="12"/>
      <c r="M392" s="12"/>
      <c r="N392" s="12"/>
      <c r="O392" s="12"/>
      <c r="P392" s="12"/>
      <c r="Q392" s="12"/>
      <c r="R392" s="12"/>
      <c r="S392" s="12">
        <v>18047.5</v>
      </c>
      <c r="T392" s="12">
        <v>0</v>
      </c>
      <c r="U392" s="12">
        <v>8236.25</v>
      </c>
      <c r="V392" s="12">
        <v>1010</v>
      </c>
      <c r="W392" s="12"/>
      <c r="X392" s="12">
        <v>275.2</v>
      </c>
      <c r="Y392" s="12"/>
      <c r="Z392" s="12"/>
      <c r="AA392" s="12"/>
      <c r="AB392" s="12"/>
      <c r="AC392" s="12"/>
      <c r="AD392" s="12">
        <f t="shared" si="97"/>
        <v>27793.95</v>
      </c>
      <c r="AE392" s="13">
        <f t="shared" si="98"/>
        <v>0</v>
      </c>
      <c r="AF392" s="14">
        <f t="shared" si="99"/>
        <v>0</v>
      </c>
      <c r="AG392" s="13">
        <f t="shared" si="100"/>
        <v>10.71</v>
      </c>
      <c r="AH392" s="13">
        <f t="shared" si="101"/>
        <v>0.75</v>
      </c>
      <c r="AI392" s="13">
        <f t="shared" si="102"/>
        <v>0.32</v>
      </c>
      <c r="AJ392" s="13">
        <f t="shared" si="103"/>
        <v>0.21</v>
      </c>
      <c r="AK392" s="13">
        <f t="shared" si="104"/>
        <v>0</v>
      </c>
      <c r="AL392" s="13">
        <f t="shared" si="105"/>
        <v>0</v>
      </c>
      <c r="AM392" s="13">
        <f t="shared" si="106"/>
        <v>10.71</v>
      </c>
      <c r="AN392" s="13">
        <f t="shared" si="107"/>
        <v>0.75</v>
      </c>
      <c r="AO392" s="13">
        <f t="shared" si="108"/>
        <v>0.32</v>
      </c>
      <c r="AP392" s="13">
        <f t="shared" si="109"/>
        <v>0.21</v>
      </c>
      <c r="AQ392" s="13" t="str">
        <f t="shared" si="110"/>
        <v>TJ202512301144000390493</v>
      </c>
      <c r="AR392" s="13">
        <f t="shared" si="111"/>
        <v>0.05</v>
      </c>
    </row>
    <row r="393" spans="1:44">
      <c r="A393" s="17" t="s">
        <v>639</v>
      </c>
      <c r="B393" s="17" t="s">
        <v>640</v>
      </c>
      <c r="C393" s="17" t="s">
        <v>46</v>
      </c>
      <c r="D393" s="17" t="s">
        <v>47</v>
      </c>
      <c r="E393" s="17" t="s">
        <v>77</v>
      </c>
      <c r="F393" s="5">
        <f>ROUND(SUMIF([1]开票!$A$2:$A$1750,[1]申请!AQ393,[1]开票!$C$2:$C$1750),2)</f>
        <v>792.38</v>
      </c>
      <c r="G393" s="5">
        <f>ROUND(SUMIF([1]开票!$A$2:$A$1750,[1]申请!AQ393,[1]开票!$D$2:$D$1750),2)</f>
        <v>97758.65</v>
      </c>
      <c r="H393" s="5">
        <f>ROUND(SUMIF([1]开票!$A$2:$A$1750,[1]申请!AQ393,[1]开票!$E$2:$E$1750),2)</f>
        <v>39.62</v>
      </c>
      <c r="I393" s="5">
        <f t="shared" si="96"/>
        <v>98590.65</v>
      </c>
      <c r="J393" s="12">
        <v>832</v>
      </c>
      <c r="K393" s="12"/>
      <c r="L393" s="12"/>
      <c r="M393" s="12"/>
      <c r="N393" s="12"/>
      <c r="O393" s="12"/>
      <c r="P393" s="12"/>
      <c r="Q393" s="12"/>
      <c r="R393" s="12"/>
      <c r="S393" s="12">
        <v>73246.45</v>
      </c>
      <c r="T393" s="12">
        <v>84.27</v>
      </c>
      <c r="U393" s="12">
        <v>23809.44</v>
      </c>
      <c r="V393" s="12"/>
      <c r="W393" s="12"/>
      <c r="X393" s="12">
        <v>618.49</v>
      </c>
      <c r="Y393" s="12"/>
      <c r="Z393" s="12"/>
      <c r="AA393" s="12"/>
      <c r="AB393" s="12"/>
      <c r="AC393" s="12"/>
      <c r="AD393" s="12">
        <f t="shared" si="97"/>
        <v>98590.65</v>
      </c>
      <c r="AE393" s="13">
        <f t="shared" si="98"/>
        <v>0</v>
      </c>
      <c r="AF393" s="14">
        <f t="shared" si="99"/>
        <v>0</v>
      </c>
      <c r="AG393" s="13">
        <f t="shared" si="100"/>
        <v>39.62</v>
      </c>
      <c r="AH393" s="13">
        <f t="shared" si="101"/>
        <v>2.77</v>
      </c>
      <c r="AI393" s="13">
        <f t="shared" si="102"/>
        <v>1.19</v>
      </c>
      <c r="AJ393" s="13">
        <f t="shared" si="103"/>
        <v>0.79</v>
      </c>
      <c r="AK393" s="13">
        <f t="shared" si="104"/>
        <v>0</v>
      </c>
      <c r="AL393" s="13">
        <f t="shared" si="105"/>
        <v>0</v>
      </c>
      <c r="AM393" s="13">
        <f t="shared" si="106"/>
        <v>39.62</v>
      </c>
      <c r="AN393" s="13">
        <f t="shared" si="107"/>
        <v>2.77</v>
      </c>
      <c r="AO393" s="13">
        <f t="shared" si="108"/>
        <v>1.19</v>
      </c>
      <c r="AP393" s="13">
        <f t="shared" si="109"/>
        <v>0.79</v>
      </c>
      <c r="AQ393" s="13" t="str">
        <f t="shared" si="110"/>
        <v>TJ202512301356000314802</v>
      </c>
      <c r="AR393" s="13">
        <f t="shared" si="111"/>
        <v>0.05</v>
      </c>
    </row>
    <row r="394" spans="1:44">
      <c r="A394" s="17" t="s">
        <v>641</v>
      </c>
      <c r="B394" s="17" t="s">
        <v>642</v>
      </c>
      <c r="C394" s="17" t="s">
        <v>46</v>
      </c>
      <c r="D394" s="17" t="s">
        <v>47</v>
      </c>
      <c r="E394" s="17" t="s">
        <v>109</v>
      </c>
      <c r="F394" s="5">
        <f>ROUND(SUMIF([1]开票!$A$2:$A$1750,[1]申请!AQ394,[1]开票!$C$2:$C$1750),2)</f>
        <v>47.17</v>
      </c>
      <c r="G394" s="5">
        <f>ROUND(SUMIF([1]开票!$A$2:$A$1750,[1]申请!AQ394,[1]开票!$D$2:$D$1750),2)</f>
        <v>0</v>
      </c>
      <c r="H394" s="5">
        <f>ROUND(SUMIF([1]开票!$A$2:$A$1750,[1]申请!AQ394,[1]开票!$E$2:$E$1750),2)</f>
        <v>2.83</v>
      </c>
      <c r="I394" s="5">
        <f t="shared" si="96"/>
        <v>50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>
        <v>50</v>
      </c>
      <c r="X394" s="12"/>
      <c r="Y394" s="12"/>
      <c r="Z394" s="12"/>
      <c r="AA394" s="12"/>
      <c r="AB394" s="12"/>
      <c r="AC394" s="12"/>
      <c r="AD394" s="12">
        <f t="shared" si="97"/>
        <v>50</v>
      </c>
      <c r="AE394" s="13">
        <f t="shared" si="98"/>
        <v>0</v>
      </c>
      <c r="AF394" s="14">
        <f t="shared" si="99"/>
        <v>0</v>
      </c>
      <c r="AG394" s="13">
        <f t="shared" si="100"/>
        <v>2.83</v>
      </c>
      <c r="AH394" s="13">
        <f t="shared" si="101"/>
        <v>0.2</v>
      </c>
      <c r="AI394" s="13">
        <f t="shared" si="102"/>
        <v>0.08</v>
      </c>
      <c r="AJ394" s="13">
        <f t="shared" si="103"/>
        <v>0.06</v>
      </c>
      <c r="AK394" s="13">
        <f t="shared" si="104"/>
        <v>0</v>
      </c>
      <c r="AL394" s="13">
        <f t="shared" si="105"/>
        <v>0</v>
      </c>
      <c r="AM394" s="13">
        <f t="shared" si="106"/>
        <v>2.83</v>
      </c>
      <c r="AN394" s="13">
        <f t="shared" si="107"/>
        <v>0.2</v>
      </c>
      <c r="AO394" s="13">
        <f t="shared" si="108"/>
        <v>0.08</v>
      </c>
      <c r="AP394" s="13">
        <f t="shared" si="109"/>
        <v>0.06</v>
      </c>
      <c r="AQ394" s="13" t="str">
        <f t="shared" si="110"/>
        <v>TJ202512301605000314800</v>
      </c>
      <c r="AR394" s="13">
        <f t="shared" si="111"/>
        <v>0.06</v>
      </c>
    </row>
    <row r="395" spans="1:44">
      <c r="A395" s="17" t="s">
        <v>643</v>
      </c>
      <c r="B395" s="17" t="s">
        <v>636</v>
      </c>
      <c r="C395" s="17" t="s">
        <v>54</v>
      </c>
      <c r="D395" s="17" t="s">
        <v>47</v>
      </c>
      <c r="E395" s="17" t="s">
        <v>51</v>
      </c>
      <c r="F395" s="5">
        <f>ROUND(SUMIF([1]开票!$A$2:$A$1750,[1]申请!AQ395,[1]开票!$C$2:$C$1750),2)</f>
        <v>121120.44</v>
      </c>
      <c r="G395" s="5">
        <f>ROUND(SUMIF([1]开票!$A$2:$A$1750,[1]申请!AQ395,[1]开票!$D$2:$D$1750),2)</f>
        <v>0</v>
      </c>
      <c r="H395" s="5">
        <f>ROUND(SUMIF([1]开票!$A$2:$A$1750,[1]申请!AQ395,[1]开票!$E$2:$E$1750),2)</f>
        <v>7267.23</v>
      </c>
      <c r="I395" s="5">
        <f t="shared" si="96"/>
        <v>128387.67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>
        <v>8084.38</v>
      </c>
      <c r="Z395" s="12"/>
      <c r="AA395" s="12">
        <v>120303.29</v>
      </c>
      <c r="AB395" s="12"/>
      <c r="AC395" s="12"/>
      <c r="AD395" s="12">
        <f t="shared" si="97"/>
        <v>128387.67</v>
      </c>
      <c r="AE395" s="13">
        <f t="shared" si="98"/>
        <v>0</v>
      </c>
      <c r="AF395" s="14">
        <f t="shared" si="99"/>
        <v>0</v>
      </c>
      <c r="AG395" s="13">
        <f t="shared" si="100"/>
        <v>7267.23</v>
      </c>
      <c r="AH395" s="13">
        <f t="shared" si="101"/>
        <v>508.71</v>
      </c>
      <c r="AI395" s="13">
        <f t="shared" si="102"/>
        <v>218.02</v>
      </c>
      <c r="AJ395" s="13">
        <f t="shared" si="103"/>
        <v>145.34</v>
      </c>
      <c r="AK395" s="13">
        <f t="shared" si="104"/>
        <v>7218.19642857143</v>
      </c>
      <c r="AL395" s="13">
        <f t="shared" si="105"/>
        <v>866.18</v>
      </c>
      <c r="AM395" s="13">
        <f t="shared" si="106"/>
        <v>49.03</v>
      </c>
      <c r="AN395" s="13">
        <f t="shared" si="107"/>
        <v>3.43</v>
      </c>
      <c r="AO395" s="13">
        <f t="shared" si="108"/>
        <v>1.47</v>
      </c>
      <c r="AP395" s="13">
        <f t="shared" si="109"/>
        <v>0.99</v>
      </c>
      <c r="AQ395" s="13" t="str">
        <f t="shared" si="110"/>
        <v>TJ202512301607000226898</v>
      </c>
      <c r="AR395" s="13">
        <f t="shared" si="111"/>
        <v>0.06</v>
      </c>
    </row>
    <row r="396" spans="1:44">
      <c r="A396" s="17" t="s">
        <v>644</v>
      </c>
      <c r="B396" s="17" t="s">
        <v>642</v>
      </c>
      <c r="C396" s="17" t="s">
        <v>46</v>
      </c>
      <c r="D396" s="17" t="s">
        <v>47</v>
      </c>
      <c r="E396" s="17" t="s">
        <v>48</v>
      </c>
      <c r="F396" s="5">
        <f>ROUND(SUMIF([1]开票!$A$2:$A$1750,[1]申请!AQ396,[1]开票!$C$2:$C$1750),2)</f>
        <v>371.43</v>
      </c>
      <c r="G396" s="5">
        <f>ROUND(SUMIF([1]开票!$A$2:$A$1750,[1]申请!AQ396,[1]开票!$D$2:$D$1750),2)</f>
        <v>24797.15</v>
      </c>
      <c r="H396" s="5">
        <f>ROUND(SUMIF([1]开票!$A$2:$A$1750,[1]申请!AQ396,[1]开票!$E$2:$E$1750),2)</f>
        <v>18.57</v>
      </c>
      <c r="I396" s="5">
        <f t="shared" si="96"/>
        <v>25187.15</v>
      </c>
      <c r="J396" s="12">
        <v>390</v>
      </c>
      <c r="K396" s="12"/>
      <c r="L396" s="12"/>
      <c r="M396" s="12"/>
      <c r="N396" s="12"/>
      <c r="O396" s="12"/>
      <c r="P396" s="12"/>
      <c r="Q396" s="12"/>
      <c r="R396" s="12"/>
      <c r="S396" s="12">
        <v>18444.79</v>
      </c>
      <c r="T396" s="12">
        <v>90.57</v>
      </c>
      <c r="U396" s="12">
        <v>4803.71</v>
      </c>
      <c r="V396" s="12">
        <v>1322</v>
      </c>
      <c r="W396" s="12"/>
      <c r="X396" s="12">
        <v>136.08</v>
      </c>
      <c r="Y396" s="12"/>
      <c r="Z396" s="12"/>
      <c r="AA396" s="12"/>
      <c r="AB396" s="12"/>
      <c r="AC396" s="12"/>
      <c r="AD396" s="12">
        <f t="shared" si="97"/>
        <v>25187.15</v>
      </c>
      <c r="AE396" s="13">
        <f t="shared" si="98"/>
        <v>0</v>
      </c>
      <c r="AF396" s="14">
        <f t="shared" si="99"/>
        <v>0</v>
      </c>
      <c r="AG396" s="13">
        <f t="shared" si="100"/>
        <v>18.57</v>
      </c>
      <c r="AH396" s="13">
        <f t="shared" si="101"/>
        <v>1.3</v>
      </c>
      <c r="AI396" s="13">
        <f t="shared" si="102"/>
        <v>0.56</v>
      </c>
      <c r="AJ396" s="13">
        <f t="shared" si="103"/>
        <v>0.37</v>
      </c>
      <c r="AK396" s="13">
        <f t="shared" si="104"/>
        <v>0</v>
      </c>
      <c r="AL396" s="13">
        <f t="shared" si="105"/>
        <v>0</v>
      </c>
      <c r="AM396" s="13">
        <f t="shared" si="106"/>
        <v>18.57</v>
      </c>
      <c r="AN396" s="13">
        <f t="shared" si="107"/>
        <v>1.3</v>
      </c>
      <c r="AO396" s="13">
        <f t="shared" si="108"/>
        <v>0.56</v>
      </c>
      <c r="AP396" s="13">
        <f t="shared" si="109"/>
        <v>0.37</v>
      </c>
      <c r="AQ396" s="13" t="str">
        <f t="shared" si="110"/>
        <v>TJ202512301609000484786</v>
      </c>
      <c r="AR396" s="13">
        <f t="shared" si="111"/>
        <v>0.05</v>
      </c>
    </row>
    <row r="397" spans="1:44">
      <c r="A397" s="17" t="s">
        <v>645</v>
      </c>
      <c r="B397" s="17" t="s">
        <v>646</v>
      </c>
      <c r="C397" s="17" t="s">
        <v>46</v>
      </c>
      <c r="D397" s="17" t="s">
        <v>47</v>
      </c>
      <c r="E397" s="17" t="s">
        <v>77</v>
      </c>
      <c r="F397" s="5">
        <f>ROUND(SUMIF([1]开票!$A$2:$A$1750,[1]申请!AQ397,[1]开票!$C$2:$C$1750),2)</f>
        <v>2057.14</v>
      </c>
      <c r="G397" s="5">
        <f>ROUND(SUMIF([1]开票!$A$2:$A$1750,[1]申请!AQ397,[1]开票!$D$2:$D$1750),2)</f>
        <v>149016.86</v>
      </c>
      <c r="H397" s="5">
        <f>ROUND(SUMIF([1]开票!$A$2:$A$1750,[1]申请!AQ397,[1]开票!$E$2:$E$1750),2)</f>
        <v>102.86</v>
      </c>
      <c r="I397" s="5">
        <f t="shared" si="96"/>
        <v>151176.86</v>
      </c>
      <c r="J397" s="12">
        <v>2160</v>
      </c>
      <c r="K397" s="12"/>
      <c r="L397" s="12"/>
      <c r="M397" s="12"/>
      <c r="N397" s="12"/>
      <c r="O397" s="12"/>
      <c r="P397" s="12"/>
      <c r="Q397" s="12"/>
      <c r="R397" s="12"/>
      <c r="S397" s="12">
        <v>106004.27</v>
      </c>
      <c r="T397" s="12">
        <v>59.4</v>
      </c>
      <c r="U397" s="12">
        <v>42215.88</v>
      </c>
      <c r="V397" s="12"/>
      <c r="W397" s="12"/>
      <c r="X397" s="12">
        <v>737.31</v>
      </c>
      <c r="Y397" s="12"/>
      <c r="Z397" s="12"/>
      <c r="AA397" s="12"/>
      <c r="AB397" s="12"/>
      <c r="AC397" s="12"/>
      <c r="AD397" s="12">
        <f t="shared" si="97"/>
        <v>151176.86</v>
      </c>
      <c r="AE397" s="13">
        <f t="shared" si="98"/>
        <v>0</v>
      </c>
      <c r="AF397" s="14">
        <f t="shared" si="99"/>
        <v>0</v>
      </c>
      <c r="AG397" s="13">
        <f t="shared" si="100"/>
        <v>102.86</v>
      </c>
      <c r="AH397" s="13">
        <f t="shared" si="101"/>
        <v>7.2</v>
      </c>
      <c r="AI397" s="13">
        <f t="shared" si="102"/>
        <v>3.09</v>
      </c>
      <c r="AJ397" s="13">
        <f t="shared" si="103"/>
        <v>2.06</v>
      </c>
      <c r="AK397" s="13">
        <f t="shared" si="104"/>
        <v>0</v>
      </c>
      <c r="AL397" s="13">
        <f t="shared" si="105"/>
        <v>0</v>
      </c>
      <c r="AM397" s="13">
        <f t="shared" si="106"/>
        <v>102.86</v>
      </c>
      <c r="AN397" s="13">
        <f t="shared" si="107"/>
        <v>7.2</v>
      </c>
      <c r="AO397" s="13">
        <f t="shared" si="108"/>
        <v>3.09</v>
      </c>
      <c r="AP397" s="13">
        <f t="shared" si="109"/>
        <v>2.06</v>
      </c>
      <c r="AQ397" s="13" t="str">
        <f t="shared" si="110"/>
        <v>TJ202512301628000192633</v>
      </c>
      <c r="AR397" s="13">
        <f t="shared" si="111"/>
        <v>0.05</v>
      </c>
    </row>
    <row r="398" spans="1:44">
      <c r="A398" s="17" t="s">
        <v>647</v>
      </c>
      <c r="B398" s="17" t="s">
        <v>57</v>
      </c>
      <c r="C398" s="17" t="s">
        <v>54</v>
      </c>
      <c r="D398" s="17" t="s">
        <v>55</v>
      </c>
      <c r="E398" s="17" t="s">
        <v>51</v>
      </c>
      <c r="F398" s="5">
        <f>ROUND(SUMIF([1]开票!$A$2:$A$1750,[1]申请!AQ398,[1]开票!$C$2:$C$1750),2)</f>
        <v>56262.66</v>
      </c>
      <c r="G398" s="5">
        <f>ROUND(SUMIF([1]开票!$A$2:$A$1750,[1]申请!AQ398,[1]开票!$D$2:$D$1750),2)</f>
        <v>0</v>
      </c>
      <c r="H398" s="5">
        <f>ROUND(SUMIF([1]开票!$A$2:$A$1750,[1]申请!AQ398,[1]开票!$E$2:$E$1750),2)</f>
        <v>3375.76</v>
      </c>
      <c r="I398" s="5">
        <f t="shared" si="96"/>
        <v>59638.42</v>
      </c>
      <c r="J398" s="12">
        <v>59638.42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>
        <f t="shared" si="97"/>
        <v>59638.42</v>
      </c>
      <c r="AE398" s="13">
        <f t="shared" si="98"/>
        <v>0</v>
      </c>
      <c r="AF398" s="14">
        <f t="shared" si="99"/>
        <v>0</v>
      </c>
      <c r="AG398" s="13">
        <f t="shared" si="100"/>
        <v>3375.76</v>
      </c>
      <c r="AH398" s="13">
        <f t="shared" si="101"/>
        <v>236.3</v>
      </c>
      <c r="AI398" s="13">
        <f t="shared" si="102"/>
        <v>101.27</v>
      </c>
      <c r="AJ398" s="13">
        <f t="shared" si="103"/>
        <v>67.52</v>
      </c>
      <c r="AK398" s="13">
        <f t="shared" si="104"/>
        <v>0</v>
      </c>
      <c r="AL398" s="13">
        <f t="shared" si="105"/>
        <v>0</v>
      </c>
      <c r="AM398" s="13">
        <f t="shared" si="106"/>
        <v>3375.76</v>
      </c>
      <c r="AN398" s="13">
        <f t="shared" si="107"/>
        <v>236.3</v>
      </c>
      <c r="AO398" s="13">
        <f t="shared" si="108"/>
        <v>101.27</v>
      </c>
      <c r="AP398" s="13">
        <f t="shared" si="109"/>
        <v>67.52</v>
      </c>
      <c r="AQ398" s="13" t="str">
        <f t="shared" si="110"/>
        <v>TJ202512301732000267119</v>
      </c>
      <c r="AR398" s="13">
        <f t="shared" si="111"/>
        <v>0.06</v>
      </c>
    </row>
    <row r="399" spans="1:44">
      <c r="A399" s="17" t="s">
        <v>648</v>
      </c>
      <c r="B399" s="17" t="s">
        <v>526</v>
      </c>
      <c r="C399" s="17" t="s">
        <v>527</v>
      </c>
      <c r="D399" s="17" t="s">
        <v>60</v>
      </c>
      <c r="E399" s="17" t="s">
        <v>51</v>
      </c>
      <c r="F399" s="5">
        <f>ROUND(SUMIF([1]开票!$A$2:$A$1750,[1]申请!AQ399,[1]开票!$C$2:$C$1750),2)</f>
        <v>437724.46</v>
      </c>
      <c r="G399" s="5">
        <f>ROUND(SUMIF([1]开票!$A$2:$A$1750,[1]申请!AQ399,[1]开票!$D$2:$D$1750),2)</f>
        <v>0</v>
      </c>
      <c r="H399" s="5">
        <f>ROUND(SUMIF([1]开票!$A$2:$A$1750,[1]申请!AQ399,[1]开票!$E$2:$E$1750),2)</f>
        <v>26263.45</v>
      </c>
      <c r="I399" s="5">
        <f t="shared" si="96"/>
        <v>463987.91</v>
      </c>
      <c r="J399" s="12"/>
      <c r="K399" s="12"/>
      <c r="L399" s="12"/>
      <c r="M399" s="12"/>
      <c r="N399" s="12"/>
      <c r="O399" s="12"/>
      <c r="P399" s="12"/>
      <c r="Q399" s="12">
        <v>22094.66</v>
      </c>
      <c r="R399" s="12"/>
      <c r="S399" s="12"/>
      <c r="T399" s="12"/>
      <c r="U399" s="12"/>
      <c r="V399" s="12"/>
      <c r="W399" s="12"/>
      <c r="X399" s="12"/>
      <c r="Y399" s="12"/>
      <c r="Z399" s="12">
        <v>441893.25</v>
      </c>
      <c r="AA399" s="12"/>
      <c r="AB399" s="12"/>
      <c r="AC399" s="12"/>
      <c r="AD399" s="12">
        <f t="shared" si="97"/>
        <v>463987.91</v>
      </c>
      <c r="AE399" s="13">
        <f t="shared" si="98"/>
        <v>0</v>
      </c>
      <c r="AF399" s="14">
        <f t="shared" si="99"/>
        <v>0</v>
      </c>
      <c r="AG399" s="13">
        <f t="shared" si="100"/>
        <v>26263.45</v>
      </c>
      <c r="AH399" s="13">
        <f t="shared" si="101"/>
        <v>1838.44</v>
      </c>
      <c r="AI399" s="13">
        <f t="shared" si="102"/>
        <v>787.9</v>
      </c>
      <c r="AJ399" s="13">
        <f t="shared" si="103"/>
        <v>525.27</v>
      </c>
      <c r="AK399" s="13">
        <f t="shared" si="104"/>
        <v>0</v>
      </c>
      <c r="AL399" s="13">
        <f t="shared" si="105"/>
        <v>0</v>
      </c>
      <c r="AM399" s="13">
        <f t="shared" si="106"/>
        <v>26263.45</v>
      </c>
      <c r="AN399" s="13">
        <f t="shared" si="107"/>
        <v>1838.44</v>
      </c>
      <c r="AO399" s="13">
        <f t="shared" si="108"/>
        <v>787.9</v>
      </c>
      <c r="AP399" s="13">
        <f t="shared" si="109"/>
        <v>525.27</v>
      </c>
      <c r="AQ399" s="13" t="str">
        <f t="shared" si="110"/>
        <v>TJ202512301854000190246</v>
      </c>
      <c r="AR399" s="13">
        <f t="shared" si="111"/>
        <v>0.06</v>
      </c>
    </row>
    <row r="400" spans="1:44">
      <c r="A400" s="17" t="s">
        <v>649</v>
      </c>
      <c r="B400" s="17" t="s">
        <v>650</v>
      </c>
      <c r="C400" s="17" t="s">
        <v>46</v>
      </c>
      <c r="D400" s="17" t="s">
        <v>47</v>
      </c>
      <c r="E400" s="17" t="s">
        <v>48</v>
      </c>
      <c r="F400" s="5">
        <f>ROUND(SUMIF([1]开票!$A$2:$A$1750,[1]申请!AQ400,[1]开票!$C$2:$C$1750),2)</f>
        <v>3910</v>
      </c>
      <c r="G400" s="5">
        <f>ROUND(SUMIF([1]开票!$A$2:$A$1750,[1]申请!AQ400,[1]开票!$D$2:$D$1750),2)</f>
        <v>465341.74</v>
      </c>
      <c r="H400" s="5">
        <f>ROUND(SUMIF([1]开票!$A$2:$A$1750,[1]申请!AQ400,[1]开票!$E$2:$E$1750),2)</f>
        <v>195.5</v>
      </c>
      <c r="I400" s="5">
        <f t="shared" si="96"/>
        <v>469447.24</v>
      </c>
      <c r="J400" s="12">
        <v>4420</v>
      </c>
      <c r="K400" s="12"/>
      <c r="L400" s="12"/>
      <c r="M400" s="12"/>
      <c r="N400" s="12"/>
      <c r="O400" s="12"/>
      <c r="P400" s="12"/>
      <c r="Q400" s="12"/>
      <c r="R400" s="12"/>
      <c r="S400" s="12">
        <v>378850.45</v>
      </c>
      <c r="T400" s="12">
        <v>1024.08</v>
      </c>
      <c r="U400" s="12">
        <v>83937.21</v>
      </c>
      <c r="V400" s="12"/>
      <c r="W400" s="12">
        <v>1020</v>
      </c>
      <c r="X400" s="12"/>
      <c r="Y400" s="12">
        <v>195.5</v>
      </c>
      <c r="Z400" s="12"/>
      <c r="AA400" s="12"/>
      <c r="AB400" s="12"/>
      <c r="AC400" s="12"/>
      <c r="AD400" s="12">
        <f t="shared" si="97"/>
        <v>469447.24</v>
      </c>
      <c r="AE400" s="13">
        <f t="shared" si="98"/>
        <v>0</v>
      </c>
      <c r="AF400" s="14">
        <f t="shared" si="99"/>
        <v>0</v>
      </c>
      <c r="AG400" s="13">
        <f t="shared" si="100"/>
        <v>195.5</v>
      </c>
      <c r="AH400" s="13">
        <f t="shared" si="101"/>
        <v>13.69</v>
      </c>
      <c r="AI400" s="13">
        <f t="shared" si="102"/>
        <v>5.87</v>
      </c>
      <c r="AJ400" s="13">
        <f t="shared" si="103"/>
        <v>3.91</v>
      </c>
      <c r="AK400" s="13">
        <f t="shared" si="104"/>
        <v>174.553571428571</v>
      </c>
      <c r="AL400" s="13">
        <f t="shared" si="105"/>
        <v>20.95</v>
      </c>
      <c r="AM400" s="13">
        <f t="shared" si="106"/>
        <v>20.95</v>
      </c>
      <c r="AN400" s="13">
        <f t="shared" si="107"/>
        <v>1.47</v>
      </c>
      <c r="AO400" s="13">
        <f t="shared" si="108"/>
        <v>0.63</v>
      </c>
      <c r="AP400" s="13">
        <f t="shared" si="109"/>
        <v>0.42</v>
      </c>
      <c r="AQ400" s="13" t="str">
        <f t="shared" si="110"/>
        <v>TJ202512301905000431874</v>
      </c>
      <c r="AR400" s="13">
        <f t="shared" si="111"/>
        <v>0.05</v>
      </c>
    </row>
    <row r="401" spans="1:44">
      <c r="A401" s="17" t="s">
        <v>651</v>
      </c>
      <c r="B401" s="17" t="s">
        <v>71</v>
      </c>
      <c r="C401" s="17" t="s">
        <v>46</v>
      </c>
      <c r="D401" s="17" t="s">
        <v>47</v>
      </c>
      <c r="E401" s="17" t="s">
        <v>48</v>
      </c>
      <c r="F401" s="5">
        <f>ROUND(SUMIF([1]开票!$A$2:$A$1750,[1]申请!AQ401,[1]开票!$C$2:$C$1750),2)</f>
        <v>460</v>
      </c>
      <c r="G401" s="5">
        <f>ROUND(SUMIF([1]开票!$A$2:$A$1750,[1]申请!AQ401,[1]开票!$D$2:$D$1750),2)</f>
        <v>56701.43</v>
      </c>
      <c r="H401" s="5">
        <f>ROUND(SUMIF([1]开票!$A$2:$A$1750,[1]申请!AQ401,[1]开票!$E$2:$E$1750),2)</f>
        <v>23</v>
      </c>
      <c r="I401" s="5">
        <f t="shared" si="96"/>
        <v>57184.43</v>
      </c>
      <c r="J401" s="12">
        <v>520</v>
      </c>
      <c r="K401" s="12"/>
      <c r="L401" s="12"/>
      <c r="M401" s="12"/>
      <c r="N401" s="12"/>
      <c r="O401" s="12"/>
      <c r="P401" s="12"/>
      <c r="Q401" s="12"/>
      <c r="R401" s="12"/>
      <c r="S401" s="12">
        <v>46861.18</v>
      </c>
      <c r="T401" s="12">
        <v>55.1</v>
      </c>
      <c r="U401" s="12">
        <v>9605.15</v>
      </c>
      <c r="V401" s="12"/>
      <c r="W401" s="12">
        <v>120</v>
      </c>
      <c r="X401" s="12"/>
      <c r="Y401" s="12">
        <v>23</v>
      </c>
      <c r="Z401" s="12"/>
      <c r="AA401" s="12"/>
      <c r="AB401" s="12"/>
      <c r="AC401" s="12"/>
      <c r="AD401" s="12">
        <f t="shared" si="97"/>
        <v>57184.43</v>
      </c>
      <c r="AE401" s="13">
        <f t="shared" si="98"/>
        <v>0</v>
      </c>
      <c r="AF401" s="14">
        <f t="shared" si="99"/>
        <v>0</v>
      </c>
      <c r="AG401" s="13">
        <f t="shared" si="100"/>
        <v>23</v>
      </c>
      <c r="AH401" s="13">
        <f t="shared" si="101"/>
        <v>1.61</v>
      </c>
      <c r="AI401" s="13">
        <f t="shared" si="102"/>
        <v>0.69</v>
      </c>
      <c r="AJ401" s="13">
        <f t="shared" si="103"/>
        <v>0.46</v>
      </c>
      <c r="AK401" s="13">
        <f t="shared" si="104"/>
        <v>20.5357142857143</v>
      </c>
      <c r="AL401" s="13">
        <f t="shared" si="105"/>
        <v>2.46</v>
      </c>
      <c r="AM401" s="13">
        <f t="shared" si="106"/>
        <v>2.46</v>
      </c>
      <c r="AN401" s="13">
        <f t="shared" si="107"/>
        <v>0.17</v>
      </c>
      <c r="AO401" s="13">
        <f t="shared" si="108"/>
        <v>0.07</v>
      </c>
      <c r="AP401" s="13">
        <f t="shared" si="109"/>
        <v>0.06</v>
      </c>
      <c r="AQ401" s="13" t="str">
        <f t="shared" si="110"/>
        <v>TJ202512301909000258823</v>
      </c>
      <c r="AR401" s="13">
        <f t="shared" si="111"/>
        <v>0.05</v>
      </c>
    </row>
    <row r="402" spans="1:44">
      <c r="A402" s="17" t="s">
        <v>652</v>
      </c>
      <c r="B402" s="17" t="s">
        <v>71</v>
      </c>
      <c r="C402" s="17" t="s">
        <v>46</v>
      </c>
      <c r="D402" s="17" t="s">
        <v>47</v>
      </c>
      <c r="E402" s="17" t="s">
        <v>48</v>
      </c>
      <c r="F402" s="5">
        <f>ROUND(SUMIF([1]开票!$A$2:$A$1750,[1]申请!AQ402,[1]开票!$C$2:$C$1750),2)</f>
        <v>92</v>
      </c>
      <c r="G402" s="5">
        <f>ROUND(SUMIF([1]开票!$A$2:$A$1750,[1]申请!AQ402,[1]开票!$D$2:$D$1750),2)</f>
        <v>6459.84</v>
      </c>
      <c r="H402" s="5">
        <f>ROUND(SUMIF([1]开票!$A$2:$A$1750,[1]申请!AQ402,[1]开票!$E$2:$E$1750),2)</f>
        <v>4.6</v>
      </c>
      <c r="I402" s="5">
        <f t="shared" si="96"/>
        <v>6556.44</v>
      </c>
      <c r="J402" s="12">
        <v>104</v>
      </c>
      <c r="K402" s="12"/>
      <c r="L402" s="12"/>
      <c r="M402" s="12"/>
      <c r="N402" s="12"/>
      <c r="O402" s="12"/>
      <c r="P402" s="12"/>
      <c r="Q402" s="12"/>
      <c r="R402" s="12"/>
      <c r="S402" s="12">
        <v>6400</v>
      </c>
      <c r="T402" s="12">
        <v>0</v>
      </c>
      <c r="U402" s="12">
        <v>23.84</v>
      </c>
      <c r="V402" s="12"/>
      <c r="W402" s="12">
        <v>24</v>
      </c>
      <c r="X402" s="12"/>
      <c r="Y402" s="12">
        <v>4.6</v>
      </c>
      <c r="Z402" s="12"/>
      <c r="AA402" s="12"/>
      <c r="AB402" s="12"/>
      <c r="AC402" s="12"/>
      <c r="AD402" s="12">
        <f t="shared" si="97"/>
        <v>6556.44</v>
      </c>
      <c r="AE402" s="13">
        <f t="shared" si="98"/>
        <v>0</v>
      </c>
      <c r="AF402" s="14">
        <f t="shared" si="99"/>
        <v>0</v>
      </c>
      <c r="AG402" s="13">
        <f t="shared" si="100"/>
        <v>4.6</v>
      </c>
      <c r="AH402" s="13">
        <f t="shared" si="101"/>
        <v>0.32</v>
      </c>
      <c r="AI402" s="13">
        <f t="shared" si="102"/>
        <v>0.14</v>
      </c>
      <c r="AJ402" s="13">
        <f t="shared" si="103"/>
        <v>0.09</v>
      </c>
      <c r="AK402" s="13">
        <f t="shared" si="104"/>
        <v>4.10714285714286</v>
      </c>
      <c r="AL402" s="13">
        <f t="shared" si="105"/>
        <v>0.49</v>
      </c>
      <c r="AM402" s="13">
        <f t="shared" si="106"/>
        <v>0.49</v>
      </c>
      <c r="AN402" s="13">
        <f t="shared" si="107"/>
        <v>0.03</v>
      </c>
      <c r="AO402" s="13">
        <f t="shared" si="108"/>
        <v>0.01</v>
      </c>
      <c r="AP402" s="13">
        <f t="shared" si="109"/>
        <v>0.02</v>
      </c>
      <c r="AQ402" s="13" t="str">
        <f t="shared" si="110"/>
        <v>TJ202512301911000243770</v>
      </c>
      <c r="AR402" s="13">
        <f t="shared" si="111"/>
        <v>0.05</v>
      </c>
    </row>
    <row r="403" spans="1:44">
      <c r="A403" s="17" t="s">
        <v>653</v>
      </c>
      <c r="B403" s="17" t="s">
        <v>69</v>
      </c>
      <c r="C403" s="17" t="s">
        <v>46</v>
      </c>
      <c r="D403" s="17" t="s">
        <v>47</v>
      </c>
      <c r="E403" s="17" t="s">
        <v>48</v>
      </c>
      <c r="F403" s="5">
        <f>ROUND(SUMIF([1]开票!$A$2:$A$1750,[1]申请!AQ403,[1]开票!$C$2:$C$1750),2)</f>
        <v>782</v>
      </c>
      <c r="G403" s="5">
        <f>ROUND(SUMIF([1]开票!$A$2:$A$1750,[1]申请!AQ403,[1]开票!$D$2:$D$1750),2)</f>
        <v>100926.82</v>
      </c>
      <c r="H403" s="5">
        <f>ROUND(SUMIF([1]开票!$A$2:$A$1750,[1]申请!AQ403,[1]开票!$E$2:$E$1750),2)</f>
        <v>39.1</v>
      </c>
      <c r="I403" s="5">
        <f t="shared" si="96"/>
        <v>101747.92</v>
      </c>
      <c r="J403" s="12">
        <v>884</v>
      </c>
      <c r="K403" s="12"/>
      <c r="L403" s="12"/>
      <c r="M403" s="12"/>
      <c r="N403" s="12"/>
      <c r="O403" s="12"/>
      <c r="P403" s="12"/>
      <c r="Q403" s="12"/>
      <c r="R403" s="12"/>
      <c r="S403" s="12">
        <v>82461.83</v>
      </c>
      <c r="T403" s="12">
        <v>284.02</v>
      </c>
      <c r="U403" s="12">
        <v>17874.97</v>
      </c>
      <c r="V403" s="12"/>
      <c r="W403" s="12">
        <v>204</v>
      </c>
      <c r="X403" s="12"/>
      <c r="Y403" s="12">
        <v>39.1</v>
      </c>
      <c r="Z403" s="12"/>
      <c r="AA403" s="12"/>
      <c r="AB403" s="12"/>
      <c r="AC403" s="12"/>
      <c r="AD403" s="12">
        <f t="shared" si="97"/>
        <v>101747.92</v>
      </c>
      <c r="AE403" s="13">
        <f t="shared" si="98"/>
        <v>0</v>
      </c>
      <c r="AF403" s="14">
        <f t="shared" si="99"/>
        <v>0</v>
      </c>
      <c r="AG403" s="13">
        <f t="shared" si="100"/>
        <v>39.1</v>
      </c>
      <c r="AH403" s="13">
        <f t="shared" si="101"/>
        <v>2.74</v>
      </c>
      <c r="AI403" s="13">
        <f t="shared" si="102"/>
        <v>1.17</v>
      </c>
      <c r="AJ403" s="13">
        <f t="shared" si="103"/>
        <v>0.78</v>
      </c>
      <c r="AK403" s="13">
        <f t="shared" si="104"/>
        <v>34.9107142857143</v>
      </c>
      <c r="AL403" s="13">
        <f t="shared" si="105"/>
        <v>4.19</v>
      </c>
      <c r="AM403" s="13">
        <f t="shared" si="106"/>
        <v>4.19</v>
      </c>
      <c r="AN403" s="13">
        <f t="shared" si="107"/>
        <v>0.29</v>
      </c>
      <c r="AO403" s="13">
        <f t="shared" si="108"/>
        <v>0.13</v>
      </c>
      <c r="AP403" s="13">
        <f t="shared" si="109"/>
        <v>0.08</v>
      </c>
      <c r="AQ403" s="13" t="str">
        <f t="shared" si="110"/>
        <v>TJ202512301913000487541</v>
      </c>
      <c r="AR403" s="13">
        <f t="shared" si="111"/>
        <v>0.05</v>
      </c>
    </row>
    <row r="404" spans="1:44">
      <c r="A404" s="17" t="s">
        <v>654</v>
      </c>
      <c r="B404" s="17" t="s">
        <v>655</v>
      </c>
      <c r="C404" s="17" t="s">
        <v>260</v>
      </c>
      <c r="D404" s="17" t="s">
        <v>47</v>
      </c>
      <c r="E404" s="17" t="s">
        <v>48</v>
      </c>
      <c r="F404" s="5">
        <f>ROUND(SUMIF([1]开票!$A$2:$A$1750,[1]申请!AQ404,[1]开票!$C$2:$C$1750),2)</f>
        <v>285.71</v>
      </c>
      <c r="G404" s="5">
        <f>ROUND(SUMIF([1]开票!$A$2:$A$1750,[1]申请!AQ404,[1]开票!$D$2:$D$1750),2)</f>
        <v>20711.53</v>
      </c>
      <c r="H404" s="5">
        <f>ROUND(SUMIF([1]开票!$A$2:$A$1750,[1]申请!AQ404,[1]开票!$E$2:$E$1750),2)</f>
        <v>14.29</v>
      </c>
      <c r="I404" s="5">
        <f t="shared" si="96"/>
        <v>21011.53</v>
      </c>
      <c r="J404" s="12">
        <v>315</v>
      </c>
      <c r="K404" s="12"/>
      <c r="L404" s="12"/>
      <c r="M404" s="12"/>
      <c r="N404" s="12"/>
      <c r="O404" s="12"/>
      <c r="P404" s="12"/>
      <c r="Q404" s="12"/>
      <c r="R404" s="12"/>
      <c r="S404" s="12">
        <v>14350.76</v>
      </c>
      <c r="T404" s="12">
        <v>12.44</v>
      </c>
      <c r="U404" s="12">
        <v>5583.33</v>
      </c>
      <c r="V404" s="12">
        <v>750</v>
      </c>
      <c r="W404" s="12"/>
      <c r="X404" s="12"/>
      <c r="Y404" s="12"/>
      <c r="Z404" s="12"/>
      <c r="AA404" s="12"/>
      <c r="AB404" s="12"/>
      <c r="AC404" s="12"/>
      <c r="AD404" s="12">
        <f t="shared" si="97"/>
        <v>21011.53</v>
      </c>
      <c r="AE404" s="13">
        <f t="shared" si="98"/>
        <v>0</v>
      </c>
      <c r="AF404" s="14">
        <f t="shared" si="99"/>
        <v>0</v>
      </c>
      <c r="AG404" s="13">
        <f t="shared" si="100"/>
        <v>14.29</v>
      </c>
      <c r="AH404" s="13">
        <f t="shared" si="101"/>
        <v>1</v>
      </c>
      <c r="AI404" s="13">
        <f t="shared" si="102"/>
        <v>0.43</v>
      </c>
      <c r="AJ404" s="13">
        <f t="shared" si="103"/>
        <v>0.29</v>
      </c>
      <c r="AK404" s="13">
        <f t="shared" si="104"/>
        <v>0</v>
      </c>
      <c r="AL404" s="13">
        <f t="shared" si="105"/>
        <v>0</v>
      </c>
      <c r="AM404" s="13">
        <f t="shared" si="106"/>
        <v>14.29</v>
      </c>
      <c r="AN404" s="13">
        <f t="shared" si="107"/>
        <v>1</v>
      </c>
      <c r="AO404" s="13">
        <f t="shared" si="108"/>
        <v>0.43</v>
      </c>
      <c r="AP404" s="13">
        <f t="shared" si="109"/>
        <v>0.29</v>
      </c>
      <c r="AQ404" s="13" t="str">
        <f t="shared" si="110"/>
        <v>TJ202512310923000142285</v>
      </c>
      <c r="AR404" s="13">
        <f t="shared" si="111"/>
        <v>0.05</v>
      </c>
    </row>
    <row r="405" spans="1:44">
      <c r="A405" s="17" t="s">
        <v>656</v>
      </c>
      <c r="B405" s="17" t="s">
        <v>657</v>
      </c>
      <c r="C405" s="17" t="s">
        <v>46</v>
      </c>
      <c r="D405" s="17" t="s">
        <v>47</v>
      </c>
      <c r="E405" s="17" t="s">
        <v>48</v>
      </c>
      <c r="F405" s="5">
        <f>ROUND(SUMIF([1]开票!$A$2:$A$1750,[1]申请!AQ405,[1]开票!$C$2:$C$1750),2)</f>
        <v>190.48</v>
      </c>
      <c r="G405" s="5">
        <f>ROUND(SUMIF([1]开票!$A$2:$A$1750,[1]申请!AQ405,[1]开票!$D$2:$D$1750),2)</f>
        <v>20212.55</v>
      </c>
      <c r="H405" s="5">
        <f>ROUND(SUMIF([1]开票!$A$2:$A$1750,[1]申请!AQ405,[1]开票!$E$2:$E$1750),2)</f>
        <v>9.52</v>
      </c>
      <c r="I405" s="5">
        <f t="shared" si="96"/>
        <v>20412.55</v>
      </c>
      <c r="J405" s="12"/>
      <c r="K405" s="12">
        <v>200</v>
      </c>
      <c r="L405" s="12"/>
      <c r="M405" s="12"/>
      <c r="N405" s="12"/>
      <c r="O405" s="12"/>
      <c r="P405" s="12"/>
      <c r="Q405" s="12"/>
      <c r="R405" s="12"/>
      <c r="S405" s="12">
        <v>15474.06</v>
      </c>
      <c r="T405" s="12">
        <v>257.94</v>
      </c>
      <c r="U405" s="12">
        <v>3125.5</v>
      </c>
      <c r="V405" s="12">
        <v>1330</v>
      </c>
      <c r="W405" s="12"/>
      <c r="X405" s="12">
        <v>25.05</v>
      </c>
      <c r="Y405" s="12"/>
      <c r="Z405" s="12"/>
      <c r="AA405" s="12"/>
      <c r="AB405" s="12"/>
      <c r="AC405" s="12"/>
      <c r="AD405" s="12">
        <f t="shared" si="97"/>
        <v>20412.55</v>
      </c>
      <c r="AE405" s="13">
        <f t="shared" si="98"/>
        <v>0</v>
      </c>
      <c r="AF405" s="14">
        <f t="shared" si="99"/>
        <v>0</v>
      </c>
      <c r="AG405" s="13">
        <f t="shared" si="100"/>
        <v>9.52</v>
      </c>
      <c r="AH405" s="13">
        <f t="shared" si="101"/>
        <v>0.67</v>
      </c>
      <c r="AI405" s="13">
        <f t="shared" si="102"/>
        <v>0.29</v>
      </c>
      <c r="AJ405" s="13">
        <f t="shared" si="103"/>
        <v>0.19</v>
      </c>
      <c r="AK405" s="13">
        <f t="shared" si="104"/>
        <v>0</v>
      </c>
      <c r="AL405" s="13">
        <f t="shared" si="105"/>
        <v>0</v>
      </c>
      <c r="AM405" s="13">
        <f t="shared" si="106"/>
        <v>9.52</v>
      </c>
      <c r="AN405" s="13">
        <f t="shared" si="107"/>
        <v>0.67</v>
      </c>
      <c r="AO405" s="13">
        <f t="shared" si="108"/>
        <v>0.29</v>
      </c>
      <c r="AP405" s="13">
        <f t="shared" si="109"/>
        <v>0.19</v>
      </c>
      <c r="AQ405" s="13" t="str">
        <f t="shared" si="110"/>
        <v>TJ202512310940000165824</v>
      </c>
      <c r="AR405" s="13">
        <f t="shared" si="111"/>
        <v>0.05</v>
      </c>
    </row>
    <row r="406" spans="1:44">
      <c r="A406" s="17" t="s">
        <v>658</v>
      </c>
      <c r="B406" s="17" t="s">
        <v>659</v>
      </c>
      <c r="C406" s="17" t="s">
        <v>120</v>
      </c>
      <c r="D406" s="17" t="s">
        <v>121</v>
      </c>
      <c r="E406" s="17" t="s">
        <v>51</v>
      </c>
      <c r="F406" s="5">
        <f>ROUND(SUMIF([1]开票!$A$2:$A$1750,[1]申请!AQ406,[1]开票!$C$2:$C$1750),2)</f>
        <v>8677.36</v>
      </c>
      <c r="G406" s="5">
        <f>ROUND(SUMIF([1]开票!$A$2:$A$1750,[1]申请!AQ406,[1]开票!$D$2:$D$1750),2)</f>
        <v>0</v>
      </c>
      <c r="H406" s="5">
        <f>ROUND(SUMIF([1]开票!$A$2:$A$1750,[1]申请!AQ406,[1]开票!$E$2:$E$1750),2)</f>
        <v>520.64</v>
      </c>
      <c r="I406" s="5">
        <f t="shared" si="96"/>
        <v>9198</v>
      </c>
      <c r="J406" s="12"/>
      <c r="K406" s="12"/>
      <c r="L406" s="12">
        <v>9198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>
        <f t="shared" si="97"/>
        <v>9198</v>
      </c>
      <c r="AE406" s="13">
        <f t="shared" si="98"/>
        <v>0</v>
      </c>
      <c r="AF406" s="14">
        <f t="shared" si="99"/>
        <v>0</v>
      </c>
      <c r="AG406" s="13">
        <f t="shared" si="100"/>
        <v>520.64</v>
      </c>
      <c r="AH406" s="13">
        <f t="shared" si="101"/>
        <v>36.44</v>
      </c>
      <c r="AI406" s="13">
        <f t="shared" si="102"/>
        <v>15.62</v>
      </c>
      <c r="AJ406" s="13">
        <f t="shared" si="103"/>
        <v>10.41</v>
      </c>
      <c r="AK406" s="13">
        <f t="shared" si="104"/>
        <v>0</v>
      </c>
      <c r="AL406" s="13">
        <f t="shared" si="105"/>
        <v>0</v>
      </c>
      <c r="AM406" s="13">
        <f t="shared" si="106"/>
        <v>520.64</v>
      </c>
      <c r="AN406" s="13">
        <f t="shared" si="107"/>
        <v>36.44</v>
      </c>
      <c r="AO406" s="13">
        <f t="shared" si="108"/>
        <v>15.62</v>
      </c>
      <c r="AP406" s="13">
        <f t="shared" si="109"/>
        <v>10.41</v>
      </c>
      <c r="AQ406" s="13" t="str">
        <f t="shared" si="110"/>
        <v>TJ202512311016000155160</v>
      </c>
      <c r="AR406" s="13">
        <f t="shared" si="111"/>
        <v>0.06</v>
      </c>
    </row>
    <row r="407" spans="1:44">
      <c r="A407" s="17" t="s">
        <v>660</v>
      </c>
      <c r="B407" s="17" t="s">
        <v>57</v>
      </c>
      <c r="C407" s="17" t="s">
        <v>54</v>
      </c>
      <c r="D407" s="17" t="s">
        <v>55</v>
      </c>
      <c r="E407" s="17" t="s">
        <v>51</v>
      </c>
      <c r="F407" s="5">
        <f>ROUND(SUMIF([1]开票!$A$2:$A$1750,[1]申请!AQ407,[1]开票!$C$2:$C$1750),2)</f>
        <v>186846.95</v>
      </c>
      <c r="G407" s="5">
        <f>ROUND(SUMIF([1]开票!$A$2:$A$1750,[1]申请!AQ407,[1]开票!$D$2:$D$1750),2)</f>
        <v>0</v>
      </c>
      <c r="H407" s="5">
        <f>ROUND(SUMIF([1]开票!$A$2:$A$1750,[1]申请!AQ407,[1]开票!$E$2:$E$1750),2)</f>
        <v>11210.82</v>
      </c>
      <c r="I407" s="5">
        <f t="shared" si="96"/>
        <v>198057.77</v>
      </c>
      <c r="J407" s="12">
        <v>198057.77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>
        <f t="shared" si="97"/>
        <v>198057.77</v>
      </c>
      <c r="AE407" s="13">
        <f t="shared" si="98"/>
        <v>0</v>
      </c>
      <c r="AF407" s="14">
        <f t="shared" si="99"/>
        <v>0</v>
      </c>
      <c r="AG407" s="13">
        <f t="shared" si="100"/>
        <v>11210.82</v>
      </c>
      <c r="AH407" s="13">
        <f t="shared" si="101"/>
        <v>784.76</v>
      </c>
      <c r="AI407" s="13">
        <f t="shared" si="102"/>
        <v>336.32</v>
      </c>
      <c r="AJ407" s="13">
        <f t="shared" si="103"/>
        <v>224.22</v>
      </c>
      <c r="AK407" s="13">
        <f t="shared" si="104"/>
        <v>0</v>
      </c>
      <c r="AL407" s="13">
        <f t="shared" si="105"/>
        <v>0</v>
      </c>
      <c r="AM407" s="13">
        <f t="shared" si="106"/>
        <v>11210.82</v>
      </c>
      <c r="AN407" s="13">
        <f t="shared" si="107"/>
        <v>784.76</v>
      </c>
      <c r="AO407" s="13">
        <f t="shared" si="108"/>
        <v>336.32</v>
      </c>
      <c r="AP407" s="13">
        <f t="shared" si="109"/>
        <v>224.22</v>
      </c>
      <c r="AQ407" s="13" t="str">
        <f t="shared" si="110"/>
        <v>TJ202512311211000496411</v>
      </c>
      <c r="AR407" s="13">
        <f t="shared" si="111"/>
        <v>0.06</v>
      </c>
    </row>
    <row r="408" spans="1:44">
      <c r="A408" s="17" t="s">
        <v>661</v>
      </c>
      <c r="B408" s="17" t="s">
        <v>64</v>
      </c>
      <c r="C408" s="17" t="s">
        <v>54</v>
      </c>
      <c r="D408" s="17" t="s">
        <v>55</v>
      </c>
      <c r="E408" s="17" t="s">
        <v>65</v>
      </c>
      <c r="F408" s="5">
        <f>ROUND(SUMIF([1]开票!$A$2:$A$1750,[1]申请!AQ408,[1]开票!$C$2:$C$1750),2)</f>
        <v>83783.53</v>
      </c>
      <c r="G408" s="5">
        <f>ROUND(SUMIF([1]开票!$A$2:$A$1750,[1]申请!AQ408,[1]开票!$D$2:$D$1750),2)</f>
        <v>0</v>
      </c>
      <c r="H408" s="5">
        <f>ROUND(SUMIF([1]开票!$A$2:$A$1750,[1]申请!AQ408,[1]开票!$E$2:$E$1750),2)</f>
        <v>5027.01</v>
      </c>
      <c r="I408" s="5">
        <f t="shared" si="96"/>
        <v>88810.54</v>
      </c>
      <c r="J408" s="12"/>
      <c r="K408" s="12"/>
      <c r="L408" s="12">
        <v>88810.54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>
        <f t="shared" si="97"/>
        <v>88810.54</v>
      </c>
      <c r="AE408" s="13">
        <f t="shared" si="98"/>
        <v>0</v>
      </c>
      <c r="AF408" s="14">
        <f t="shared" si="99"/>
        <v>0</v>
      </c>
      <c r="AG408" s="13">
        <f t="shared" si="100"/>
        <v>5027.01</v>
      </c>
      <c r="AH408" s="13">
        <f t="shared" si="101"/>
        <v>351.89</v>
      </c>
      <c r="AI408" s="13">
        <f t="shared" si="102"/>
        <v>150.81</v>
      </c>
      <c r="AJ408" s="13">
        <f t="shared" si="103"/>
        <v>100.54</v>
      </c>
      <c r="AK408" s="13">
        <f t="shared" si="104"/>
        <v>0</v>
      </c>
      <c r="AL408" s="13">
        <f t="shared" si="105"/>
        <v>0</v>
      </c>
      <c r="AM408" s="13">
        <f t="shared" si="106"/>
        <v>5027.01</v>
      </c>
      <c r="AN408" s="13">
        <f t="shared" si="107"/>
        <v>351.89</v>
      </c>
      <c r="AO408" s="13">
        <f t="shared" si="108"/>
        <v>150.81</v>
      </c>
      <c r="AP408" s="13">
        <f t="shared" si="109"/>
        <v>100.54</v>
      </c>
      <c r="AQ408" s="13" t="str">
        <f t="shared" si="110"/>
        <v>TJ202512311447000411107</v>
      </c>
      <c r="AR408" s="13">
        <f t="shared" si="111"/>
        <v>0.06</v>
      </c>
    </row>
    <row r="409" spans="1:44">
      <c r="A409" s="17" t="s">
        <v>662</v>
      </c>
      <c r="B409" s="17" t="s">
        <v>131</v>
      </c>
      <c r="C409" s="17" t="s">
        <v>132</v>
      </c>
      <c r="D409" s="17" t="s">
        <v>60</v>
      </c>
      <c r="E409" s="17" t="s">
        <v>51</v>
      </c>
      <c r="F409" s="5">
        <f>ROUND(SUMIF([1]开票!$A$2:$A$1750,[1]申请!AQ409,[1]开票!$C$2:$C$1750),2)</f>
        <v>108950.84</v>
      </c>
      <c r="G409" s="5">
        <f>ROUND(SUMIF([1]开票!$A$2:$A$1750,[1]申请!AQ409,[1]开票!$D$2:$D$1750),2)</f>
        <v>0</v>
      </c>
      <c r="H409" s="5">
        <f>ROUND(SUMIF([1]开票!$A$2:$A$1750,[1]申请!AQ409,[1]开票!$E$2:$E$1750),2)</f>
        <v>6537.05</v>
      </c>
      <c r="I409" s="5">
        <f t="shared" si="96"/>
        <v>115487.89</v>
      </c>
      <c r="J409" s="12"/>
      <c r="K409" s="12"/>
      <c r="L409" s="12"/>
      <c r="M409" s="12"/>
      <c r="N409" s="12"/>
      <c r="O409" s="12"/>
      <c r="P409" s="12"/>
      <c r="Q409" s="12">
        <v>5812.89</v>
      </c>
      <c r="R409" s="12"/>
      <c r="S409" s="12"/>
      <c r="T409" s="12"/>
      <c r="U409" s="12"/>
      <c r="V409" s="12"/>
      <c r="W409" s="12"/>
      <c r="X409" s="12"/>
      <c r="Y409" s="12"/>
      <c r="Z409" s="12">
        <v>109675</v>
      </c>
      <c r="AA409" s="12"/>
      <c r="AB409" s="12"/>
      <c r="AC409" s="12"/>
      <c r="AD409" s="12">
        <f t="shared" si="97"/>
        <v>115487.89</v>
      </c>
      <c r="AE409" s="13">
        <f t="shared" si="98"/>
        <v>0</v>
      </c>
      <c r="AF409" s="14">
        <f t="shared" si="99"/>
        <v>0</v>
      </c>
      <c r="AG409" s="13">
        <f t="shared" si="100"/>
        <v>6537.05</v>
      </c>
      <c r="AH409" s="13">
        <f t="shared" si="101"/>
        <v>457.59</v>
      </c>
      <c r="AI409" s="13">
        <f t="shared" si="102"/>
        <v>196.11</v>
      </c>
      <c r="AJ409" s="13">
        <f t="shared" si="103"/>
        <v>130.74</v>
      </c>
      <c r="AK409" s="13">
        <f t="shared" si="104"/>
        <v>0</v>
      </c>
      <c r="AL409" s="13">
        <f t="shared" si="105"/>
        <v>0</v>
      </c>
      <c r="AM409" s="13">
        <f t="shared" si="106"/>
        <v>6537.05</v>
      </c>
      <c r="AN409" s="13">
        <f t="shared" si="107"/>
        <v>457.59</v>
      </c>
      <c r="AO409" s="13">
        <f t="shared" si="108"/>
        <v>196.11</v>
      </c>
      <c r="AP409" s="13">
        <f t="shared" si="109"/>
        <v>130.74</v>
      </c>
      <c r="AQ409" s="13" t="str">
        <f t="shared" si="110"/>
        <v>TJ202512311453000016862</v>
      </c>
      <c r="AR409" s="13">
        <f t="shared" si="111"/>
        <v>0.06</v>
      </c>
    </row>
    <row r="410" spans="1:44">
      <c r="A410" s="17" t="s">
        <v>663</v>
      </c>
      <c r="B410" s="17" t="s">
        <v>131</v>
      </c>
      <c r="C410" s="17" t="s">
        <v>132</v>
      </c>
      <c r="D410" s="17" t="s">
        <v>60</v>
      </c>
      <c r="E410" s="17" t="s">
        <v>51</v>
      </c>
      <c r="F410" s="5">
        <f>ROUND(SUMIF([1]开票!$A$2:$A$1750,[1]申请!AQ410,[1]开票!$C$2:$C$1750),2)</f>
        <v>15260.57</v>
      </c>
      <c r="G410" s="5">
        <f>ROUND(SUMIF([1]开票!$A$2:$A$1750,[1]申请!AQ410,[1]开票!$D$2:$D$1750),2)</f>
        <v>0</v>
      </c>
      <c r="H410" s="5">
        <f>ROUND(SUMIF([1]开票!$A$2:$A$1750,[1]申请!AQ410,[1]开票!$E$2:$E$1750),2)</f>
        <v>915.63</v>
      </c>
      <c r="I410" s="5">
        <f t="shared" si="96"/>
        <v>16176.2</v>
      </c>
      <c r="J410" s="12"/>
      <c r="K410" s="12"/>
      <c r="L410" s="12"/>
      <c r="M410" s="12"/>
      <c r="N410" s="12"/>
      <c r="O410" s="12"/>
      <c r="P410" s="12"/>
      <c r="Q410" s="12">
        <v>814.2</v>
      </c>
      <c r="R410" s="12"/>
      <c r="S410" s="12"/>
      <c r="T410" s="12"/>
      <c r="U410" s="12"/>
      <c r="V410" s="12"/>
      <c r="W410" s="12"/>
      <c r="X410" s="12"/>
      <c r="Y410" s="12"/>
      <c r="Z410" s="12">
        <v>15362</v>
      </c>
      <c r="AA410" s="12"/>
      <c r="AB410" s="12"/>
      <c r="AC410" s="12"/>
      <c r="AD410" s="12">
        <f t="shared" si="97"/>
        <v>16176.2</v>
      </c>
      <c r="AE410" s="13">
        <f t="shared" si="98"/>
        <v>0</v>
      </c>
      <c r="AF410" s="14">
        <f t="shared" si="99"/>
        <v>0</v>
      </c>
      <c r="AG410" s="13">
        <f t="shared" si="100"/>
        <v>915.63</v>
      </c>
      <c r="AH410" s="13">
        <f t="shared" si="101"/>
        <v>64.09</v>
      </c>
      <c r="AI410" s="13">
        <f t="shared" si="102"/>
        <v>27.47</v>
      </c>
      <c r="AJ410" s="13">
        <f t="shared" si="103"/>
        <v>18.31</v>
      </c>
      <c r="AK410" s="13">
        <f t="shared" si="104"/>
        <v>0</v>
      </c>
      <c r="AL410" s="13">
        <f t="shared" si="105"/>
        <v>0</v>
      </c>
      <c r="AM410" s="13">
        <f t="shared" si="106"/>
        <v>915.63</v>
      </c>
      <c r="AN410" s="13">
        <f t="shared" si="107"/>
        <v>64.09</v>
      </c>
      <c r="AO410" s="13">
        <f t="shared" si="108"/>
        <v>27.47</v>
      </c>
      <c r="AP410" s="13">
        <f t="shared" si="109"/>
        <v>18.31</v>
      </c>
      <c r="AQ410" s="13" t="str">
        <f t="shared" si="110"/>
        <v>TJ202512311500000147329</v>
      </c>
      <c r="AR410" s="13">
        <f t="shared" si="111"/>
        <v>0.06</v>
      </c>
    </row>
    <row r="411" spans="1:44">
      <c r="A411" s="17" t="s">
        <v>664</v>
      </c>
      <c r="B411" s="17" t="s">
        <v>526</v>
      </c>
      <c r="C411" s="17" t="s">
        <v>527</v>
      </c>
      <c r="D411" s="17" t="s">
        <v>60</v>
      </c>
      <c r="E411" s="17" t="s">
        <v>51</v>
      </c>
      <c r="F411" s="5">
        <f>ROUND(SUMIF([1]开票!$A$2:$A$1750,[1]申请!AQ411,[1]开票!$C$2:$C$1750),2)</f>
        <v>96302.6</v>
      </c>
      <c r="G411" s="5">
        <f>ROUND(SUMIF([1]开票!$A$2:$A$1750,[1]申请!AQ411,[1]开票!$D$2:$D$1750),2)</f>
        <v>0</v>
      </c>
      <c r="H411" s="5">
        <f>ROUND(SUMIF([1]开票!$A$2:$A$1750,[1]申请!AQ411,[1]开票!$E$2:$E$1750),2)</f>
        <v>5778.16</v>
      </c>
      <c r="I411" s="5">
        <f t="shared" si="96"/>
        <v>102080.76</v>
      </c>
      <c r="J411" s="12"/>
      <c r="K411" s="12"/>
      <c r="L411" s="12"/>
      <c r="M411" s="12"/>
      <c r="N411" s="12"/>
      <c r="O411" s="12"/>
      <c r="P411" s="12"/>
      <c r="Q411" s="12">
        <v>4860.99</v>
      </c>
      <c r="R411" s="12"/>
      <c r="S411" s="12"/>
      <c r="T411" s="12"/>
      <c r="U411" s="12"/>
      <c r="V411" s="12"/>
      <c r="W411" s="12"/>
      <c r="X411" s="12"/>
      <c r="Y411" s="12"/>
      <c r="Z411" s="12">
        <v>97219.77</v>
      </c>
      <c r="AA411" s="12"/>
      <c r="AB411" s="12"/>
      <c r="AC411" s="12"/>
      <c r="AD411" s="12">
        <f t="shared" si="97"/>
        <v>102080.76</v>
      </c>
      <c r="AE411" s="13">
        <f t="shared" si="98"/>
        <v>0</v>
      </c>
      <c r="AF411" s="14">
        <f t="shared" si="99"/>
        <v>0</v>
      </c>
      <c r="AG411" s="13">
        <f t="shared" si="100"/>
        <v>5778.16</v>
      </c>
      <c r="AH411" s="13">
        <f t="shared" si="101"/>
        <v>404.47</v>
      </c>
      <c r="AI411" s="13">
        <f t="shared" si="102"/>
        <v>173.34</v>
      </c>
      <c r="AJ411" s="13">
        <f t="shared" si="103"/>
        <v>115.56</v>
      </c>
      <c r="AK411" s="13">
        <f t="shared" si="104"/>
        <v>0</v>
      </c>
      <c r="AL411" s="13">
        <f t="shared" si="105"/>
        <v>0</v>
      </c>
      <c r="AM411" s="13">
        <f t="shared" si="106"/>
        <v>5778.16</v>
      </c>
      <c r="AN411" s="13">
        <f t="shared" si="107"/>
        <v>404.47</v>
      </c>
      <c r="AO411" s="13">
        <f t="shared" si="108"/>
        <v>173.34</v>
      </c>
      <c r="AP411" s="13">
        <f t="shared" si="109"/>
        <v>115.56</v>
      </c>
      <c r="AQ411" s="13" t="str">
        <f t="shared" si="110"/>
        <v>TJ202512311615000468650</v>
      </c>
      <c r="AR411" s="13">
        <f t="shared" si="111"/>
        <v>0.06</v>
      </c>
    </row>
    <row r="412" spans="1:44">
      <c r="A412" s="17" t="s">
        <v>665</v>
      </c>
      <c r="B412" s="17" t="s">
        <v>666</v>
      </c>
      <c r="C412" s="17" t="s">
        <v>54</v>
      </c>
      <c r="D412" s="17" t="s">
        <v>47</v>
      </c>
      <c r="E412" s="17" t="s">
        <v>51</v>
      </c>
      <c r="F412" s="5">
        <f>ROUND(SUMIF([1]开票!$A$2:$A$1750,[1]申请!AQ412,[1]开票!$C$2:$C$1750),2)</f>
        <v>102593.08</v>
      </c>
      <c r="G412" s="5">
        <f>ROUND(SUMIF([1]开票!$A$2:$A$1750,[1]申请!AQ412,[1]开票!$D$2:$D$1750),2)</f>
        <v>0</v>
      </c>
      <c r="H412" s="5">
        <f>ROUND(SUMIF([1]开票!$A$2:$A$1750,[1]申请!AQ412,[1]开票!$E$2:$E$1750),2)</f>
        <v>6155.59</v>
      </c>
      <c r="I412" s="5">
        <f t="shared" si="96"/>
        <v>108748.67</v>
      </c>
      <c r="J412" s="12"/>
      <c r="K412" s="12"/>
      <c r="L412" s="12">
        <v>108748.67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>
        <f t="shared" si="97"/>
        <v>108748.67</v>
      </c>
      <c r="AE412" s="13">
        <f t="shared" si="98"/>
        <v>0</v>
      </c>
      <c r="AF412" s="14">
        <f t="shared" si="99"/>
        <v>0</v>
      </c>
      <c r="AG412" s="13">
        <f t="shared" si="100"/>
        <v>6155.59</v>
      </c>
      <c r="AH412" s="13">
        <f t="shared" si="101"/>
        <v>430.89</v>
      </c>
      <c r="AI412" s="13">
        <f t="shared" si="102"/>
        <v>184.67</v>
      </c>
      <c r="AJ412" s="13">
        <f t="shared" si="103"/>
        <v>123.11</v>
      </c>
      <c r="AK412" s="13">
        <f t="shared" si="104"/>
        <v>0</v>
      </c>
      <c r="AL412" s="13">
        <f t="shared" si="105"/>
        <v>0</v>
      </c>
      <c r="AM412" s="13">
        <f t="shared" si="106"/>
        <v>6155.59</v>
      </c>
      <c r="AN412" s="13">
        <f t="shared" si="107"/>
        <v>430.89</v>
      </c>
      <c r="AO412" s="13">
        <f t="shared" si="108"/>
        <v>184.67</v>
      </c>
      <c r="AP412" s="13">
        <f t="shared" si="109"/>
        <v>123.11</v>
      </c>
      <c r="AQ412" s="13" t="str">
        <f t="shared" si="110"/>
        <v>TJ202512311803000241289</v>
      </c>
      <c r="AR412" s="13">
        <f t="shared" si="111"/>
        <v>0.06</v>
      </c>
    </row>
    <row r="413" ht="15" spans="1:44">
      <c r="A413" s="28" t="s">
        <v>667</v>
      </c>
      <c r="B413" s="12" t="s">
        <v>74</v>
      </c>
      <c r="C413" s="12" t="s">
        <v>46</v>
      </c>
      <c r="D413" s="12" t="s">
        <v>47</v>
      </c>
      <c r="E413" s="12" t="s">
        <v>48</v>
      </c>
      <c r="F413" s="5">
        <f>ROUND(SUMIF([1]开票!$A$2:$A$1750,[1]申请!AQ413,[1]开票!$C$2:$C$1750),2)</f>
        <v>309.52</v>
      </c>
      <c r="G413" s="5">
        <f>ROUND(SUMIF([1]开票!$A$2:$A$1750,[1]申请!AQ413,[1]开票!$D$2:$D$1750),2)</f>
        <v>28528.58</v>
      </c>
      <c r="H413" s="5">
        <f>ROUND(SUMIF([1]开票!$A$2:$A$1750,[1]申请!AQ413,[1]开票!$E$2:$E$1750),2)</f>
        <v>15.48</v>
      </c>
      <c r="I413" s="5">
        <f t="shared" si="96"/>
        <v>28853.58</v>
      </c>
      <c r="J413" s="42">
        <v>325</v>
      </c>
      <c r="K413" s="12"/>
      <c r="L413" s="15"/>
      <c r="M413" s="12"/>
      <c r="N413" s="12"/>
      <c r="O413" s="12"/>
      <c r="P413" s="12"/>
      <c r="Q413" s="12"/>
      <c r="R413" s="12"/>
      <c r="S413" s="15">
        <v>24000</v>
      </c>
      <c r="T413" s="47">
        <v>4528.58</v>
      </c>
      <c r="U413" s="15">
        <v>0</v>
      </c>
      <c r="V413" s="20">
        <v>0</v>
      </c>
      <c r="W413" s="12">
        <v>0</v>
      </c>
      <c r="X413" s="12">
        <v>0</v>
      </c>
      <c r="Y413" s="15"/>
      <c r="Z413" s="15"/>
      <c r="AA413" s="20"/>
      <c r="AB413" s="47"/>
      <c r="AC413" s="47"/>
      <c r="AD413" s="12">
        <f t="shared" si="97"/>
        <v>28853.58</v>
      </c>
      <c r="AE413" s="13">
        <f t="shared" si="98"/>
        <v>0</v>
      </c>
      <c r="AF413" s="14">
        <f t="shared" si="99"/>
        <v>0</v>
      </c>
      <c r="AG413" s="13">
        <f t="shared" si="100"/>
        <v>15.48</v>
      </c>
      <c r="AH413" s="13">
        <f t="shared" si="101"/>
        <v>1.08</v>
      </c>
      <c r="AI413" s="13">
        <f t="shared" si="102"/>
        <v>0.46</v>
      </c>
      <c r="AJ413" s="13">
        <f t="shared" si="103"/>
        <v>0.31</v>
      </c>
      <c r="AK413" s="13">
        <f t="shared" si="104"/>
        <v>0</v>
      </c>
      <c r="AL413" s="13">
        <f t="shared" si="105"/>
        <v>0</v>
      </c>
      <c r="AM413" s="13">
        <f t="shared" si="106"/>
        <v>15.48</v>
      </c>
      <c r="AN413" s="13">
        <f t="shared" si="107"/>
        <v>1.08</v>
      </c>
      <c r="AO413" s="13">
        <f t="shared" si="108"/>
        <v>0.46</v>
      </c>
      <c r="AP413" s="13">
        <f t="shared" si="109"/>
        <v>0.31</v>
      </c>
      <c r="AQ413" s="13" t="str">
        <f t="shared" si="110"/>
        <v>TJ202512021519000271014-1</v>
      </c>
      <c r="AR413" s="13">
        <f t="shared" si="111"/>
        <v>0.05</v>
      </c>
    </row>
    <row r="414" ht="15" spans="1:44">
      <c r="A414" s="18" t="s">
        <v>668</v>
      </c>
      <c r="B414" s="12" t="s">
        <v>650</v>
      </c>
      <c r="C414" s="12" t="s">
        <v>46</v>
      </c>
      <c r="D414" s="12" t="s">
        <v>47</v>
      </c>
      <c r="E414" s="12" t="s">
        <v>48</v>
      </c>
      <c r="F414" s="5">
        <f>ROUND(SUMIF([1]开票!$A$2:$A$1750,[1]申请!AQ414,[1]开票!$C$2:$C$1750),2)</f>
        <v>92</v>
      </c>
      <c r="G414" s="5">
        <f>ROUND(SUMIF([1]开票!$A$2:$A$1750,[1]申请!AQ414,[1]开票!$D$2:$D$1750),2)</f>
        <v>15390.61</v>
      </c>
      <c r="H414" s="5">
        <f>ROUND(SUMIF([1]开票!$A$2:$A$1750,[1]申请!AQ414,[1]开票!$E$2:$E$1750),2)</f>
        <v>4.6</v>
      </c>
      <c r="I414" s="5">
        <f t="shared" si="96"/>
        <v>15487.21</v>
      </c>
      <c r="J414" s="12">
        <v>92</v>
      </c>
      <c r="K414" s="12"/>
      <c r="L414" s="12"/>
      <c r="M414" s="12"/>
      <c r="N414" s="12"/>
      <c r="O414" s="12"/>
      <c r="P414" s="12"/>
      <c r="Q414" s="12"/>
      <c r="R414" s="12"/>
      <c r="S414" s="12">
        <v>12517.88</v>
      </c>
      <c r="T414" s="12">
        <v>94.07</v>
      </c>
      <c r="U414" s="12">
        <v>2742.66</v>
      </c>
      <c r="V414" s="12">
        <v>4.6</v>
      </c>
      <c r="W414" s="12">
        <v>36</v>
      </c>
      <c r="X414" s="12"/>
      <c r="Y414" s="20"/>
      <c r="Z414" s="20"/>
      <c r="AA414" s="12"/>
      <c r="AB414" s="12"/>
      <c r="AC414" s="12"/>
      <c r="AD414" s="12">
        <f t="shared" si="97"/>
        <v>15487.21</v>
      </c>
      <c r="AE414" s="13">
        <f t="shared" si="98"/>
        <v>0</v>
      </c>
      <c r="AF414" s="14">
        <f t="shared" si="99"/>
        <v>0</v>
      </c>
      <c r="AG414" s="13">
        <f t="shared" si="100"/>
        <v>4.6</v>
      </c>
      <c r="AH414" s="13">
        <f t="shared" si="101"/>
        <v>0.32</v>
      </c>
      <c r="AI414" s="13">
        <f t="shared" si="102"/>
        <v>0.14</v>
      </c>
      <c r="AJ414" s="13">
        <f t="shared" si="103"/>
        <v>0.09</v>
      </c>
      <c r="AK414" s="13">
        <f t="shared" si="104"/>
        <v>0</v>
      </c>
      <c r="AL414" s="13">
        <f t="shared" si="105"/>
        <v>0</v>
      </c>
      <c r="AM414" s="13">
        <f t="shared" si="106"/>
        <v>4.6</v>
      </c>
      <c r="AN414" s="13">
        <f t="shared" si="107"/>
        <v>0.32</v>
      </c>
      <c r="AO414" s="13">
        <f t="shared" si="108"/>
        <v>0.14</v>
      </c>
      <c r="AP414" s="13">
        <f t="shared" si="109"/>
        <v>0.09</v>
      </c>
      <c r="AQ414" s="13" t="str">
        <f t="shared" si="110"/>
        <v>TJ202511281633000173184</v>
      </c>
      <c r="AR414" s="13">
        <f t="shared" si="111"/>
        <v>0.05</v>
      </c>
    </row>
    <row r="415" spans="1:44">
      <c r="A415" s="29" t="s">
        <v>669</v>
      </c>
      <c r="B415" s="17" t="s">
        <v>650</v>
      </c>
      <c r="C415" s="17" t="s">
        <v>46</v>
      </c>
      <c r="D415" s="17" t="s">
        <v>47</v>
      </c>
      <c r="E415" s="17" t="s">
        <v>48</v>
      </c>
      <c r="F415" s="5">
        <f>ROUND(SUMIF([1]开票!$A$2:$A$1750,[1]申请!AQ415,[1]开票!$C$2:$C$1750),2)</f>
        <v>46</v>
      </c>
      <c r="G415" s="5">
        <f>ROUND(SUMIF([1]开票!$A$2:$A$1750,[1]申请!AQ415,[1]开票!$D$2:$D$1750),2)</f>
        <v>11673.9</v>
      </c>
      <c r="H415" s="5">
        <f>ROUND(SUMIF([1]开票!$A$2:$A$1750,[1]申请!AQ415,[1]开票!$E$2:$E$1750),2)</f>
        <v>2.3</v>
      </c>
      <c r="I415" s="5">
        <f t="shared" si="96"/>
        <v>11722.2</v>
      </c>
      <c r="J415" s="12">
        <v>46</v>
      </c>
      <c r="K415" s="12"/>
      <c r="L415" s="12"/>
      <c r="M415" s="12"/>
      <c r="N415" s="12"/>
      <c r="O415" s="12"/>
      <c r="P415" s="12"/>
      <c r="Q415" s="12"/>
      <c r="R415" s="12"/>
      <c r="S415" s="12">
        <v>10126.03</v>
      </c>
      <c r="T415" s="12">
        <v>158.54</v>
      </c>
      <c r="U415" s="12">
        <v>1371.33</v>
      </c>
      <c r="V415" s="12">
        <v>2.3</v>
      </c>
      <c r="W415" s="12">
        <v>18</v>
      </c>
      <c r="X415" s="12"/>
      <c r="Y415" s="12"/>
      <c r="Z415" s="12"/>
      <c r="AA415" s="12"/>
      <c r="AB415" s="12"/>
      <c r="AC415" s="12"/>
      <c r="AD415" s="12">
        <f t="shared" si="97"/>
        <v>11722.2</v>
      </c>
      <c r="AE415" s="13">
        <f t="shared" si="98"/>
        <v>0</v>
      </c>
      <c r="AF415" s="14">
        <f t="shared" si="99"/>
        <v>0</v>
      </c>
      <c r="AG415" s="13">
        <f t="shared" si="100"/>
        <v>2.3</v>
      </c>
      <c r="AH415" s="13">
        <f t="shared" si="101"/>
        <v>0.16</v>
      </c>
      <c r="AI415" s="13">
        <f t="shared" si="102"/>
        <v>0.07</v>
      </c>
      <c r="AJ415" s="13">
        <f t="shared" si="103"/>
        <v>0.05</v>
      </c>
      <c r="AK415" s="13">
        <f t="shared" si="104"/>
        <v>0</v>
      </c>
      <c r="AL415" s="13">
        <f t="shared" si="105"/>
        <v>0</v>
      </c>
      <c r="AM415" s="13">
        <f t="shared" si="106"/>
        <v>2.3</v>
      </c>
      <c r="AN415" s="13">
        <f t="shared" si="107"/>
        <v>0.16</v>
      </c>
      <c r="AO415" s="13">
        <f t="shared" si="108"/>
        <v>0.07</v>
      </c>
      <c r="AP415" s="13">
        <f t="shared" si="109"/>
        <v>0.05</v>
      </c>
      <c r="AQ415" s="13" t="str">
        <f t="shared" si="110"/>
        <v>TJ202511281636000077809</v>
      </c>
      <c r="AR415" s="13">
        <f t="shared" si="111"/>
        <v>0.05</v>
      </c>
    </row>
    <row r="416" spans="1:44">
      <c r="A416" s="29" t="s">
        <v>670</v>
      </c>
      <c r="B416" s="17" t="s">
        <v>650</v>
      </c>
      <c r="C416" s="17" t="s">
        <v>46</v>
      </c>
      <c r="D416" s="17" t="s">
        <v>47</v>
      </c>
      <c r="E416" s="17" t="s">
        <v>48</v>
      </c>
      <c r="F416" s="5">
        <f>ROUND(SUMIF([1]开票!$A$2:$A$1750,[1]申请!AQ416,[1]开票!$C$2:$C$1750),2)</f>
        <v>414</v>
      </c>
      <c r="G416" s="5">
        <f>ROUND(SUMIF([1]开票!$A$2:$A$1750,[1]申请!AQ416,[1]开票!$D$2:$D$1750),2)</f>
        <v>47133.47</v>
      </c>
      <c r="H416" s="5">
        <f>ROUND(SUMIF([1]开票!$A$2:$A$1750,[1]申请!AQ416,[1]开票!$E$2:$E$1750),2)</f>
        <v>20.7</v>
      </c>
      <c r="I416" s="5">
        <f t="shared" si="96"/>
        <v>47568.17</v>
      </c>
      <c r="J416" s="12">
        <v>414</v>
      </c>
      <c r="K416" s="12"/>
      <c r="L416" s="12"/>
      <c r="M416" s="12"/>
      <c r="N416" s="12"/>
      <c r="O416" s="12"/>
      <c r="P416" s="12"/>
      <c r="Q416" s="12"/>
      <c r="R416" s="12"/>
      <c r="S416" s="12">
        <v>35970.91</v>
      </c>
      <c r="T416" s="12">
        <v>18</v>
      </c>
      <c r="U416" s="12">
        <v>10982.56</v>
      </c>
      <c r="V416" s="12">
        <v>20.7</v>
      </c>
      <c r="W416" s="12">
        <v>162</v>
      </c>
      <c r="X416" s="12"/>
      <c r="Y416" s="12"/>
      <c r="Z416" s="12"/>
      <c r="AA416" s="12"/>
      <c r="AB416" s="12"/>
      <c r="AC416" s="12"/>
      <c r="AD416" s="12">
        <f t="shared" si="97"/>
        <v>47568.17</v>
      </c>
      <c r="AE416" s="13">
        <f t="shared" si="98"/>
        <v>0</v>
      </c>
      <c r="AF416" s="14">
        <f t="shared" si="99"/>
        <v>0</v>
      </c>
      <c r="AG416" s="13">
        <f t="shared" si="100"/>
        <v>20.7</v>
      </c>
      <c r="AH416" s="13">
        <f t="shared" si="101"/>
        <v>1.45</v>
      </c>
      <c r="AI416" s="13">
        <f t="shared" si="102"/>
        <v>0.62</v>
      </c>
      <c r="AJ416" s="13">
        <f t="shared" si="103"/>
        <v>0.41</v>
      </c>
      <c r="AK416" s="13">
        <f t="shared" si="104"/>
        <v>0</v>
      </c>
      <c r="AL416" s="13">
        <f t="shared" si="105"/>
        <v>0</v>
      </c>
      <c r="AM416" s="13">
        <f t="shared" si="106"/>
        <v>20.7</v>
      </c>
      <c r="AN416" s="13">
        <f t="shared" si="107"/>
        <v>1.45</v>
      </c>
      <c r="AO416" s="13">
        <f t="shared" si="108"/>
        <v>0.62</v>
      </c>
      <c r="AP416" s="13">
        <f t="shared" si="109"/>
        <v>0.41</v>
      </c>
      <c r="AQ416" s="13" t="str">
        <f t="shared" si="110"/>
        <v>TJ202511281638000134438</v>
      </c>
      <c r="AR416" s="13">
        <f t="shared" si="111"/>
        <v>0.05</v>
      </c>
    </row>
    <row r="417" spans="1:44">
      <c r="A417" s="29" t="s">
        <v>671</v>
      </c>
      <c r="B417" s="17" t="s">
        <v>650</v>
      </c>
      <c r="C417" s="17" t="s">
        <v>46</v>
      </c>
      <c r="D417" s="17" t="s">
        <v>47</v>
      </c>
      <c r="E417" s="17" t="s">
        <v>48</v>
      </c>
      <c r="F417" s="5">
        <f>ROUND(SUMIF([1]开票!$A$2:$A$1750,[1]申请!AQ417,[1]开票!$C$2:$C$1750),2)</f>
        <v>184</v>
      </c>
      <c r="G417" s="5">
        <f>ROUND(SUMIF([1]开票!$A$2:$A$1750,[1]申请!AQ417,[1]开票!$D$2:$D$1750),2)</f>
        <v>25889.08</v>
      </c>
      <c r="H417" s="5">
        <f>ROUND(SUMIF([1]开票!$A$2:$A$1750,[1]申请!AQ417,[1]开票!$E$2:$E$1750),2)</f>
        <v>9.2</v>
      </c>
      <c r="I417" s="5">
        <f t="shared" si="96"/>
        <v>26082.28</v>
      </c>
      <c r="J417" s="12">
        <v>184</v>
      </c>
      <c r="K417" s="12"/>
      <c r="L417" s="12"/>
      <c r="M417" s="12"/>
      <c r="N417" s="12"/>
      <c r="O417" s="12"/>
      <c r="P417" s="12"/>
      <c r="Q417" s="12"/>
      <c r="R417" s="12"/>
      <c r="S417" s="12">
        <v>20321.11</v>
      </c>
      <c r="T417" s="12">
        <v>10.65</v>
      </c>
      <c r="U417" s="12">
        <v>5485.32</v>
      </c>
      <c r="V417" s="12">
        <v>9.2</v>
      </c>
      <c r="W417" s="12">
        <v>72</v>
      </c>
      <c r="X417" s="12"/>
      <c r="Y417" s="12"/>
      <c r="Z417" s="12"/>
      <c r="AA417" s="12"/>
      <c r="AB417" s="12"/>
      <c r="AC417" s="12"/>
      <c r="AD417" s="12">
        <f t="shared" si="97"/>
        <v>26082.28</v>
      </c>
      <c r="AE417" s="13">
        <f t="shared" si="98"/>
        <v>0</v>
      </c>
      <c r="AF417" s="14">
        <f t="shared" si="99"/>
        <v>0</v>
      </c>
      <c r="AG417" s="13">
        <f t="shared" si="100"/>
        <v>9.2</v>
      </c>
      <c r="AH417" s="13">
        <f t="shared" si="101"/>
        <v>0.64</v>
      </c>
      <c r="AI417" s="13">
        <f t="shared" si="102"/>
        <v>0.28</v>
      </c>
      <c r="AJ417" s="13">
        <f t="shared" si="103"/>
        <v>0.18</v>
      </c>
      <c r="AK417" s="13">
        <f t="shared" si="104"/>
        <v>0</v>
      </c>
      <c r="AL417" s="13">
        <f t="shared" si="105"/>
        <v>0</v>
      </c>
      <c r="AM417" s="13">
        <f t="shared" si="106"/>
        <v>9.2</v>
      </c>
      <c r="AN417" s="13">
        <f t="shared" si="107"/>
        <v>0.64</v>
      </c>
      <c r="AO417" s="13">
        <f t="shared" si="108"/>
        <v>0.28</v>
      </c>
      <c r="AP417" s="13">
        <f t="shared" si="109"/>
        <v>0.18</v>
      </c>
      <c r="AQ417" s="13" t="str">
        <f t="shared" si="110"/>
        <v>TJ202511281639000237423</v>
      </c>
      <c r="AR417" s="13">
        <f t="shared" si="111"/>
        <v>0.05</v>
      </c>
    </row>
    <row r="418" spans="1:44">
      <c r="A418" s="29" t="s">
        <v>672</v>
      </c>
      <c r="B418" s="17" t="s">
        <v>650</v>
      </c>
      <c r="C418" s="17" t="s">
        <v>46</v>
      </c>
      <c r="D418" s="17" t="s">
        <v>47</v>
      </c>
      <c r="E418" s="17" t="s">
        <v>48</v>
      </c>
      <c r="F418" s="5">
        <f>ROUND(SUMIF([1]开票!$A$2:$A$1750,[1]申请!AQ418,[1]开票!$C$2:$C$1750),2)</f>
        <v>46</v>
      </c>
      <c r="G418" s="5">
        <f>ROUND(SUMIF([1]开票!$A$2:$A$1750,[1]申请!AQ418,[1]开票!$D$2:$D$1750),2)</f>
        <v>6678.9</v>
      </c>
      <c r="H418" s="5">
        <f>ROUND(SUMIF([1]开票!$A$2:$A$1750,[1]申请!AQ418,[1]开票!$E$2:$E$1750),2)</f>
        <v>2.3</v>
      </c>
      <c r="I418" s="5">
        <f t="shared" si="96"/>
        <v>6727.2</v>
      </c>
      <c r="J418" s="12">
        <v>46</v>
      </c>
      <c r="K418" s="12"/>
      <c r="L418" s="12"/>
      <c r="M418" s="12"/>
      <c r="N418" s="12"/>
      <c r="O418" s="12"/>
      <c r="P418" s="12"/>
      <c r="Q418" s="12"/>
      <c r="R418" s="12"/>
      <c r="S418" s="12">
        <v>5280.88</v>
      </c>
      <c r="T418" s="12">
        <v>8.69</v>
      </c>
      <c r="U418" s="12">
        <v>1371.33</v>
      </c>
      <c r="V418" s="12">
        <v>2.3</v>
      </c>
      <c r="W418" s="12">
        <v>18</v>
      </c>
      <c r="X418" s="12"/>
      <c r="Y418" s="12"/>
      <c r="Z418" s="12"/>
      <c r="AA418" s="12"/>
      <c r="AB418" s="12"/>
      <c r="AC418" s="12"/>
      <c r="AD418" s="12">
        <f t="shared" si="97"/>
        <v>6727.2</v>
      </c>
      <c r="AE418" s="13">
        <f t="shared" si="98"/>
        <v>0</v>
      </c>
      <c r="AF418" s="14">
        <f t="shared" si="99"/>
        <v>0</v>
      </c>
      <c r="AG418" s="13">
        <f t="shared" si="100"/>
        <v>2.3</v>
      </c>
      <c r="AH418" s="13">
        <f t="shared" si="101"/>
        <v>0.16</v>
      </c>
      <c r="AI418" s="13">
        <f t="shared" si="102"/>
        <v>0.07</v>
      </c>
      <c r="AJ418" s="13">
        <f t="shared" si="103"/>
        <v>0.05</v>
      </c>
      <c r="AK418" s="13">
        <f t="shared" si="104"/>
        <v>0</v>
      </c>
      <c r="AL418" s="13">
        <f t="shared" si="105"/>
        <v>0</v>
      </c>
      <c r="AM418" s="13">
        <f t="shared" si="106"/>
        <v>2.3</v>
      </c>
      <c r="AN418" s="13">
        <f t="shared" si="107"/>
        <v>0.16</v>
      </c>
      <c r="AO418" s="13">
        <f t="shared" si="108"/>
        <v>0.07</v>
      </c>
      <c r="AP418" s="13">
        <f t="shared" si="109"/>
        <v>0.05</v>
      </c>
      <c r="AQ418" s="13" t="str">
        <f t="shared" si="110"/>
        <v>TJ202511281641000481459</v>
      </c>
      <c r="AR418" s="13">
        <f t="shared" si="111"/>
        <v>0.05</v>
      </c>
    </row>
    <row r="419" spans="1:44">
      <c r="A419" s="29" t="s">
        <v>673</v>
      </c>
      <c r="B419" s="17" t="s">
        <v>650</v>
      </c>
      <c r="C419" s="17" t="s">
        <v>46</v>
      </c>
      <c r="D419" s="17" t="s">
        <v>47</v>
      </c>
      <c r="E419" s="17" t="s">
        <v>48</v>
      </c>
      <c r="F419" s="5">
        <f>ROUND(SUMIF([1]开票!$A$2:$A$1750,[1]申请!AQ419,[1]开票!$C$2:$C$1750),2)</f>
        <v>138</v>
      </c>
      <c r="G419" s="5">
        <f>ROUND(SUMIF([1]开票!$A$2:$A$1750,[1]申请!AQ419,[1]开票!$D$2:$D$1750),2)</f>
        <v>14956.64</v>
      </c>
      <c r="H419" s="5">
        <f>ROUND(SUMIF([1]开票!$A$2:$A$1750,[1]申请!AQ419,[1]开票!$E$2:$E$1750),2)</f>
        <v>6.9</v>
      </c>
      <c r="I419" s="5">
        <f t="shared" si="96"/>
        <v>15101.54</v>
      </c>
      <c r="J419" s="12">
        <v>138</v>
      </c>
      <c r="K419" s="12"/>
      <c r="L419" s="12"/>
      <c r="M419" s="12"/>
      <c r="N419" s="12"/>
      <c r="O419" s="12"/>
      <c r="P419" s="12"/>
      <c r="Q419" s="12"/>
      <c r="R419" s="12"/>
      <c r="S419" s="12">
        <v>10788.65</v>
      </c>
      <c r="T419" s="12">
        <v>0</v>
      </c>
      <c r="U419" s="12">
        <v>4113.99</v>
      </c>
      <c r="V419" s="12">
        <v>6.9</v>
      </c>
      <c r="W419" s="12">
        <v>54</v>
      </c>
      <c r="X419" s="12"/>
      <c r="Y419" s="12"/>
      <c r="Z419" s="12"/>
      <c r="AA419" s="12"/>
      <c r="AB419" s="12"/>
      <c r="AC419" s="12"/>
      <c r="AD419" s="12">
        <f t="shared" si="97"/>
        <v>15101.54</v>
      </c>
      <c r="AE419" s="13">
        <f t="shared" si="98"/>
        <v>0</v>
      </c>
      <c r="AF419" s="14">
        <f t="shared" si="99"/>
        <v>0</v>
      </c>
      <c r="AG419" s="13">
        <f t="shared" si="100"/>
        <v>6.9</v>
      </c>
      <c r="AH419" s="13">
        <f t="shared" si="101"/>
        <v>0.48</v>
      </c>
      <c r="AI419" s="13">
        <f t="shared" si="102"/>
        <v>0.21</v>
      </c>
      <c r="AJ419" s="13">
        <f t="shared" si="103"/>
        <v>0.14</v>
      </c>
      <c r="AK419" s="13">
        <f t="shared" si="104"/>
        <v>0</v>
      </c>
      <c r="AL419" s="13">
        <f t="shared" si="105"/>
        <v>0</v>
      </c>
      <c r="AM419" s="13">
        <f t="shared" si="106"/>
        <v>6.9</v>
      </c>
      <c r="AN419" s="13">
        <f t="shared" si="107"/>
        <v>0.48</v>
      </c>
      <c r="AO419" s="13">
        <f t="shared" si="108"/>
        <v>0.21</v>
      </c>
      <c r="AP419" s="13">
        <f t="shared" si="109"/>
        <v>0.14</v>
      </c>
      <c r="AQ419" s="13" t="str">
        <f t="shared" si="110"/>
        <v>TJ202511281643000029104</v>
      </c>
      <c r="AR419" s="13">
        <f t="shared" si="111"/>
        <v>0.05</v>
      </c>
    </row>
    <row r="420" spans="1:44">
      <c r="A420" s="29" t="s">
        <v>674</v>
      </c>
      <c r="B420" s="17" t="s">
        <v>650</v>
      </c>
      <c r="C420" s="17" t="s">
        <v>46</v>
      </c>
      <c r="D420" s="17" t="s">
        <v>47</v>
      </c>
      <c r="E420" s="17" t="s">
        <v>48</v>
      </c>
      <c r="F420" s="5">
        <f>ROUND(SUMIF([1]开票!$A$2:$A$1750,[1]申请!AQ420,[1]开票!$C$2:$C$1750),2)</f>
        <v>184</v>
      </c>
      <c r="G420" s="5">
        <f>ROUND(SUMIF([1]开票!$A$2:$A$1750,[1]申请!AQ420,[1]开票!$D$2:$D$1750),2)</f>
        <v>14761.68</v>
      </c>
      <c r="H420" s="5">
        <f>ROUND(SUMIF([1]开票!$A$2:$A$1750,[1]申请!AQ420,[1]开票!$E$2:$E$1750),2)</f>
        <v>9.2</v>
      </c>
      <c r="I420" s="5">
        <f t="shared" si="96"/>
        <v>14954.88</v>
      </c>
      <c r="J420" s="12">
        <v>184</v>
      </c>
      <c r="K420" s="12"/>
      <c r="L420" s="12"/>
      <c r="M420" s="12"/>
      <c r="N420" s="12"/>
      <c r="O420" s="12"/>
      <c r="P420" s="12"/>
      <c r="Q420" s="12"/>
      <c r="R420" s="12"/>
      <c r="S420" s="12">
        <v>14642</v>
      </c>
      <c r="T420" s="12">
        <v>0</v>
      </c>
      <c r="U420" s="12">
        <v>47.68</v>
      </c>
      <c r="V420" s="12">
        <v>9.2</v>
      </c>
      <c r="W420" s="12">
        <v>72</v>
      </c>
      <c r="X420" s="12"/>
      <c r="Y420" s="12"/>
      <c r="Z420" s="12"/>
      <c r="AA420" s="12"/>
      <c r="AB420" s="12"/>
      <c r="AC420" s="12"/>
      <c r="AD420" s="12">
        <f t="shared" si="97"/>
        <v>14954.88</v>
      </c>
      <c r="AE420" s="13">
        <f t="shared" si="98"/>
        <v>0</v>
      </c>
      <c r="AF420" s="14">
        <f t="shared" si="99"/>
        <v>0</v>
      </c>
      <c r="AG420" s="13">
        <f t="shared" si="100"/>
        <v>9.2</v>
      </c>
      <c r="AH420" s="13">
        <f t="shared" si="101"/>
        <v>0.64</v>
      </c>
      <c r="AI420" s="13">
        <f t="shared" si="102"/>
        <v>0.28</v>
      </c>
      <c r="AJ420" s="13">
        <f t="shared" si="103"/>
        <v>0.18</v>
      </c>
      <c r="AK420" s="13">
        <f t="shared" si="104"/>
        <v>0</v>
      </c>
      <c r="AL420" s="13">
        <f t="shared" si="105"/>
        <v>0</v>
      </c>
      <c r="AM420" s="13">
        <f t="shared" si="106"/>
        <v>9.2</v>
      </c>
      <c r="AN420" s="13">
        <f t="shared" si="107"/>
        <v>0.64</v>
      </c>
      <c r="AO420" s="13">
        <f t="shared" si="108"/>
        <v>0.28</v>
      </c>
      <c r="AP420" s="13">
        <f t="shared" si="109"/>
        <v>0.18</v>
      </c>
      <c r="AQ420" s="13" t="str">
        <f t="shared" si="110"/>
        <v>TJ202511281644000204785</v>
      </c>
      <c r="AR420" s="13">
        <f t="shared" si="111"/>
        <v>0.05</v>
      </c>
    </row>
    <row r="421" spans="1:44">
      <c r="A421" s="29" t="s">
        <v>675</v>
      </c>
      <c r="B421" s="17" t="s">
        <v>650</v>
      </c>
      <c r="C421" s="17" t="s">
        <v>46</v>
      </c>
      <c r="D421" s="17" t="s">
        <v>47</v>
      </c>
      <c r="E421" s="17" t="s">
        <v>48</v>
      </c>
      <c r="F421" s="5">
        <f>ROUND(SUMIF([1]开票!$A$2:$A$1750,[1]申请!AQ421,[1]开票!$C$2:$C$1750),2)</f>
        <v>46</v>
      </c>
      <c r="G421" s="5">
        <f>ROUND(SUMIF([1]开票!$A$2:$A$1750,[1]申请!AQ421,[1]开票!$D$2:$D$1750),2)</f>
        <v>4145.9</v>
      </c>
      <c r="H421" s="5">
        <f>ROUND(SUMIF([1]开票!$A$2:$A$1750,[1]申请!AQ421,[1]开票!$E$2:$E$1750),2)</f>
        <v>2.3</v>
      </c>
      <c r="I421" s="5">
        <f t="shared" si="96"/>
        <v>4194.2</v>
      </c>
      <c r="J421" s="12">
        <v>46</v>
      </c>
      <c r="K421" s="12"/>
      <c r="L421" s="12"/>
      <c r="M421" s="12"/>
      <c r="N421" s="12"/>
      <c r="O421" s="12"/>
      <c r="P421" s="12"/>
      <c r="Q421" s="12"/>
      <c r="R421" s="12"/>
      <c r="S421" s="12">
        <v>2756.57</v>
      </c>
      <c r="T421" s="12">
        <v>0</v>
      </c>
      <c r="U421" s="12">
        <v>1371.33</v>
      </c>
      <c r="V421" s="12">
        <v>2.3</v>
      </c>
      <c r="W421" s="12">
        <v>18</v>
      </c>
      <c r="X421" s="12"/>
      <c r="Y421" s="12"/>
      <c r="Z421" s="12"/>
      <c r="AA421" s="12"/>
      <c r="AB421" s="12"/>
      <c r="AC421" s="12"/>
      <c r="AD421" s="12">
        <f t="shared" si="97"/>
        <v>4194.2</v>
      </c>
      <c r="AE421" s="13">
        <f t="shared" si="98"/>
        <v>0</v>
      </c>
      <c r="AF421" s="14">
        <f t="shared" si="99"/>
        <v>0</v>
      </c>
      <c r="AG421" s="13">
        <f t="shared" si="100"/>
        <v>2.3</v>
      </c>
      <c r="AH421" s="13">
        <f t="shared" si="101"/>
        <v>0.16</v>
      </c>
      <c r="AI421" s="13">
        <f t="shared" si="102"/>
        <v>0.07</v>
      </c>
      <c r="AJ421" s="13">
        <f t="shared" si="103"/>
        <v>0.05</v>
      </c>
      <c r="AK421" s="13">
        <f t="shared" si="104"/>
        <v>0</v>
      </c>
      <c r="AL421" s="13">
        <f t="shared" si="105"/>
        <v>0</v>
      </c>
      <c r="AM421" s="13">
        <f t="shared" si="106"/>
        <v>2.3</v>
      </c>
      <c r="AN421" s="13">
        <f t="shared" si="107"/>
        <v>0.16</v>
      </c>
      <c r="AO421" s="13">
        <f t="shared" si="108"/>
        <v>0.07</v>
      </c>
      <c r="AP421" s="13">
        <f t="shared" si="109"/>
        <v>0.05</v>
      </c>
      <c r="AQ421" s="13" t="str">
        <f t="shared" si="110"/>
        <v>TJ202511281645000319134</v>
      </c>
      <c r="AR421" s="13">
        <f t="shared" si="111"/>
        <v>0.05</v>
      </c>
    </row>
    <row r="422" spans="1:44">
      <c r="A422" s="29" t="s">
        <v>676</v>
      </c>
      <c r="B422" s="17" t="s">
        <v>650</v>
      </c>
      <c r="C422" s="17" t="s">
        <v>46</v>
      </c>
      <c r="D422" s="17" t="s">
        <v>47</v>
      </c>
      <c r="E422" s="17" t="s">
        <v>48</v>
      </c>
      <c r="F422" s="5">
        <f>ROUND(SUMIF([1]开票!$A$2:$A$1750,[1]申请!AQ422,[1]开票!$C$2:$C$1750),2)</f>
        <v>138</v>
      </c>
      <c r="G422" s="5">
        <f>ROUND(SUMIF([1]开票!$A$2:$A$1750,[1]申请!AQ422,[1]开票!$D$2:$D$1750),2)</f>
        <v>20108.08</v>
      </c>
      <c r="H422" s="5">
        <f>ROUND(SUMIF([1]开票!$A$2:$A$1750,[1]申请!AQ422,[1]开票!$E$2:$E$1750),2)</f>
        <v>6.9</v>
      </c>
      <c r="I422" s="5">
        <f t="shared" si="96"/>
        <v>20252.98</v>
      </c>
      <c r="J422" s="12">
        <v>138</v>
      </c>
      <c r="K422" s="12"/>
      <c r="L422" s="12"/>
      <c r="M422" s="12"/>
      <c r="N422" s="12"/>
      <c r="O422" s="12"/>
      <c r="P422" s="12"/>
      <c r="Q422" s="12"/>
      <c r="R422" s="12"/>
      <c r="S422" s="12">
        <v>15875.96</v>
      </c>
      <c r="T422" s="12">
        <v>64.13</v>
      </c>
      <c r="U422" s="12">
        <v>4113.99</v>
      </c>
      <c r="V422" s="12">
        <v>6.9</v>
      </c>
      <c r="W422" s="12">
        <v>54</v>
      </c>
      <c r="X422" s="12"/>
      <c r="Y422" s="12"/>
      <c r="Z422" s="12"/>
      <c r="AA422" s="12"/>
      <c r="AB422" s="12"/>
      <c r="AC422" s="12"/>
      <c r="AD422" s="12">
        <f t="shared" si="97"/>
        <v>20252.98</v>
      </c>
      <c r="AE422" s="13">
        <f t="shared" si="98"/>
        <v>0</v>
      </c>
      <c r="AF422" s="14">
        <f t="shared" si="99"/>
        <v>0</v>
      </c>
      <c r="AG422" s="13">
        <f t="shared" si="100"/>
        <v>6.9</v>
      </c>
      <c r="AH422" s="13">
        <f t="shared" si="101"/>
        <v>0.48</v>
      </c>
      <c r="AI422" s="13">
        <f t="shared" si="102"/>
        <v>0.21</v>
      </c>
      <c r="AJ422" s="13">
        <f t="shared" si="103"/>
        <v>0.14</v>
      </c>
      <c r="AK422" s="13">
        <f t="shared" si="104"/>
        <v>0</v>
      </c>
      <c r="AL422" s="13">
        <f t="shared" si="105"/>
        <v>0</v>
      </c>
      <c r="AM422" s="13">
        <f t="shared" si="106"/>
        <v>6.9</v>
      </c>
      <c r="AN422" s="13">
        <f t="shared" si="107"/>
        <v>0.48</v>
      </c>
      <c r="AO422" s="13">
        <f t="shared" si="108"/>
        <v>0.21</v>
      </c>
      <c r="AP422" s="13">
        <f t="shared" si="109"/>
        <v>0.14</v>
      </c>
      <c r="AQ422" s="13" t="str">
        <f t="shared" si="110"/>
        <v>TJ202511281646000534129</v>
      </c>
      <c r="AR422" s="13">
        <f t="shared" si="111"/>
        <v>0.05</v>
      </c>
    </row>
    <row r="423" spans="1:44">
      <c r="A423" s="29" t="s">
        <v>677</v>
      </c>
      <c r="B423" s="17" t="s">
        <v>650</v>
      </c>
      <c r="C423" s="17" t="s">
        <v>46</v>
      </c>
      <c r="D423" s="17" t="s">
        <v>47</v>
      </c>
      <c r="E423" s="17" t="s">
        <v>48</v>
      </c>
      <c r="F423" s="5">
        <f>ROUND(SUMIF([1]开票!$A$2:$A$1750,[1]申请!AQ423,[1]开票!$C$2:$C$1750),2)</f>
        <v>46</v>
      </c>
      <c r="G423" s="5">
        <f>ROUND(SUMIF([1]开票!$A$2:$A$1750,[1]申请!AQ423,[1]开票!$D$2:$D$1750),2)</f>
        <v>6340.45</v>
      </c>
      <c r="H423" s="5">
        <f>ROUND(SUMIF([1]开票!$A$2:$A$1750,[1]申请!AQ423,[1]开票!$E$2:$E$1750),2)</f>
        <v>2.3</v>
      </c>
      <c r="I423" s="5">
        <f t="shared" si="96"/>
        <v>6388.75</v>
      </c>
      <c r="J423" s="12">
        <v>46</v>
      </c>
      <c r="K423" s="12"/>
      <c r="L423" s="12"/>
      <c r="M423" s="12"/>
      <c r="N423" s="12"/>
      <c r="O423" s="12"/>
      <c r="P423" s="12"/>
      <c r="Q423" s="12"/>
      <c r="R423" s="12"/>
      <c r="S423" s="12">
        <v>4951.12</v>
      </c>
      <c r="T423" s="12">
        <v>0</v>
      </c>
      <c r="U423" s="12">
        <v>1371.33</v>
      </c>
      <c r="V423" s="12">
        <v>2.3</v>
      </c>
      <c r="W423" s="12">
        <v>18</v>
      </c>
      <c r="X423" s="12"/>
      <c r="Y423" s="12"/>
      <c r="Z423" s="12"/>
      <c r="AA423" s="12"/>
      <c r="AB423" s="12"/>
      <c r="AC423" s="12"/>
      <c r="AD423" s="12">
        <f t="shared" si="97"/>
        <v>6388.75</v>
      </c>
      <c r="AE423" s="13">
        <f t="shared" si="98"/>
        <v>0</v>
      </c>
      <c r="AF423" s="14">
        <f t="shared" si="99"/>
        <v>0</v>
      </c>
      <c r="AG423" s="13">
        <f t="shared" si="100"/>
        <v>2.3</v>
      </c>
      <c r="AH423" s="13">
        <f t="shared" si="101"/>
        <v>0.16</v>
      </c>
      <c r="AI423" s="13">
        <f t="shared" si="102"/>
        <v>0.07</v>
      </c>
      <c r="AJ423" s="13">
        <f t="shared" si="103"/>
        <v>0.05</v>
      </c>
      <c r="AK423" s="13">
        <f t="shared" si="104"/>
        <v>0</v>
      </c>
      <c r="AL423" s="13">
        <f t="shared" si="105"/>
        <v>0</v>
      </c>
      <c r="AM423" s="13">
        <f t="shared" si="106"/>
        <v>2.3</v>
      </c>
      <c r="AN423" s="13">
        <f t="shared" si="107"/>
        <v>0.16</v>
      </c>
      <c r="AO423" s="13">
        <f t="shared" si="108"/>
        <v>0.07</v>
      </c>
      <c r="AP423" s="13">
        <f t="shared" si="109"/>
        <v>0.05</v>
      </c>
      <c r="AQ423" s="13" t="str">
        <f t="shared" si="110"/>
        <v>TJ202511281648000018806</v>
      </c>
      <c r="AR423" s="13">
        <f t="shared" si="111"/>
        <v>0.05</v>
      </c>
    </row>
    <row r="424" spans="1:44">
      <c r="A424" s="29" t="s">
        <v>678</v>
      </c>
      <c r="B424" s="17" t="s">
        <v>650</v>
      </c>
      <c r="C424" s="17" t="s">
        <v>46</v>
      </c>
      <c r="D424" s="17" t="s">
        <v>47</v>
      </c>
      <c r="E424" s="17" t="s">
        <v>48</v>
      </c>
      <c r="F424" s="5">
        <f>ROUND(SUMIF([1]开票!$A$2:$A$1750,[1]申请!AQ424,[1]开票!$C$2:$C$1750),2)</f>
        <v>598</v>
      </c>
      <c r="G424" s="5">
        <f>ROUND(SUMIF([1]开票!$A$2:$A$1750,[1]申请!AQ424,[1]开票!$D$2:$D$1750),2)</f>
        <v>76370.6</v>
      </c>
      <c r="H424" s="5">
        <f>ROUND(SUMIF([1]开票!$A$2:$A$1750,[1]申请!AQ424,[1]开票!$E$2:$E$1750),2)</f>
        <v>29.9</v>
      </c>
      <c r="I424" s="5">
        <f t="shared" si="96"/>
        <v>76998.5</v>
      </c>
      <c r="J424" s="12">
        <v>598</v>
      </c>
      <c r="K424" s="12"/>
      <c r="L424" s="12"/>
      <c r="M424" s="12"/>
      <c r="N424" s="12"/>
      <c r="O424" s="12"/>
      <c r="P424" s="12"/>
      <c r="Q424" s="12"/>
      <c r="R424" s="12"/>
      <c r="S424" s="12">
        <v>63650.24</v>
      </c>
      <c r="T424" s="12">
        <v>96.71</v>
      </c>
      <c r="U424" s="12">
        <v>12389.65</v>
      </c>
      <c r="V424" s="12">
        <v>29.9</v>
      </c>
      <c r="W424" s="12">
        <v>234</v>
      </c>
      <c r="X424" s="12"/>
      <c r="Y424" s="12"/>
      <c r="Z424" s="12"/>
      <c r="AA424" s="12"/>
      <c r="AB424" s="12"/>
      <c r="AC424" s="12"/>
      <c r="AD424" s="12">
        <f t="shared" si="97"/>
        <v>76998.5</v>
      </c>
      <c r="AE424" s="13">
        <f t="shared" si="98"/>
        <v>0</v>
      </c>
      <c r="AF424" s="14">
        <f t="shared" si="99"/>
        <v>0</v>
      </c>
      <c r="AG424" s="13">
        <f t="shared" si="100"/>
        <v>29.9</v>
      </c>
      <c r="AH424" s="13">
        <f t="shared" si="101"/>
        <v>2.09</v>
      </c>
      <c r="AI424" s="13">
        <f t="shared" si="102"/>
        <v>0.9</v>
      </c>
      <c r="AJ424" s="13">
        <f t="shared" si="103"/>
        <v>0.6</v>
      </c>
      <c r="AK424" s="13">
        <f t="shared" si="104"/>
        <v>0</v>
      </c>
      <c r="AL424" s="13">
        <f t="shared" si="105"/>
        <v>0</v>
      </c>
      <c r="AM424" s="13">
        <f t="shared" si="106"/>
        <v>29.9</v>
      </c>
      <c r="AN424" s="13">
        <f t="shared" si="107"/>
        <v>2.09</v>
      </c>
      <c r="AO424" s="13">
        <f t="shared" si="108"/>
        <v>0.9</v>
      </c>
      <c r="AP424" s="13">
        <f t="shared" si="109"/>
        <v>0.6</v>
      </c>
      <c r="AQ424" s="13" t="str">
        <f t="shared" si="110"/>
        <v>TJ202511281648000582425</v>
      </c>
      <c r="AR424" s="13">
        <f t="shared" si="111"/>
        <v>0.05</v>
      </c>
    </row>
    <row r="425" spans="1:44">
      <c r="A425" s="29" t="s">
        <v>679</v>
      </c>
      <c r="B425" s="17" t="s">
        <v>650</v>
      </c>
      <c r="C425" s="17" t="s">
        <v>46</v>
      </c>
      <c r="D425" s="17" t="s">
        <v>47</v>
      </c>
      <c r="E425" s="17" t="s">
        <v>48</v>
      </c>
      <c r="F425" s="5">
        <f>ROUND(SUMIF([1]开票!$A$2:$A$1750,[1]申请!AQ425,[1]开票!$C$2:$C$1750),2)</f>
        <v>1012</v>
      </c>
      <c r="G425" s="5">
        <f>ROUND(SUMIF([1]开票!$A$2:$A$1750,[1]申请!AQ425,[1]开票!$D$2:$D$1750),2)</f>
        <v>100081.12</v>
      </c>
      <c r="H425" s="5">
        <f>ROUND(SUMIF([1]开票!$A$2:$A$1750,[1]申请!AQ425,[1]开票!$E$2:$E$1750),2)</f>
        <v>50.6</v>
      </c>
      <c r="I425" s="5">
        <f t="shared" si="96"/>
        <v>101143.72</v>
      </c>
      <c r="J425" s="12">
        <v>1012</v>
      </c>
      <c r="K425" s="12"/>
      <c r="L425" s="12"/>
      <c r="M425" s="12"/>
      <c r="N425" s="12"/>
      <c r="O425" s="12"/>
      <c r="P425" s="12"/>
      <c r="Q425" s="12"/>
      <c r="R425" s="12"/>
      <c r="S425" s="12">
        <v>92406.63</v>
      </c>
      <c r="T425" s="12">
        <v>230.22</v>
      </c>
      <c r="U425" s="12">
        <v>7048.27</v>
      </c>
      <c r="V425" s="12">
        <v>50.6</v>
      </c>
      <c r="W425" s="12">
        <v>396</v>
      </c>
      <c r="X425" s="12"/>
      <c r="Y425" s="12"/>
      <c r="Z425" s="12"/>
      <c r="AA425" s="12"/>
      <c r="AB425" s="12"/>
      <c r="AC425" s="12"/>
      <c r="AD425" s="12">
        <f t="shared" si="97"/>
        <v>101143.72</v>
      </c>
      <c r="AE425" s="13">
        <f t="shared" si="98"/>
        <v>0</v>
      </c>
      <c r="AF425" s="14">
        <f t="shared" si="99"/>
        <v>0</v>
      </c>
      <c r="AG425" s="13">
        <f t="shared" si="100"/>
        <v>50.6</v>
      </c>
      <c r="AH425" s="13">
        <f t="shared" si="101"/>
        <v>3.54</v>
      </c>
      <c r="AI425" s="13">
        <f t="shared" si="102"/>
        <v>1.52</v>
      </c>
      <c r="AJ425" s="13">
        <f t="shared" si="103"/>
        <v>1.01</v>
      </c>
      <c r="AK425" s="13">
        <f t="shared" si="104"/>
        <v>0</v>
      </c>
      <c r="AL425" s="13">
        <f t="shared" si="105"/>
        <v>0</v>
      </c>
      <c r="AM425" s="13">
        <f t="shared" si="106"/>
        <v>50.6</v>
      </c>
      <c r="AN425" s="13">
        <f t="shared" si="107"/>
        <v>3.54</v>
      </c>
      <c r="AO425" s="13">
        <f t="shared" si="108"/>
        <v>1.52</v>
      </c>
      <c r="AP425" s="13">
        <f t="shared" si="109"/>
        <v>1.01</v>
      </c>
      <c r="AQ425" s="13" t="str">
        <f t="shared" si="110"/>
        <v>TJ202511281703000400609</v>
      </c>
      <c r="AR425" s="13">
        <f t="shared" si="111"/>
        <v>0.05</v>
      </c>
    </row>
    <row r="426" spans="1:44">
      <c r="A426" s="29" t="s">
        <v>680</v>
      </c>
      <c r="B426" s="17" t="s">
        <v>650</v>
      </c>
      <c r="C426" s="17" t="s">
        <v>46</v>
      </c>
      <c r="D426" s="17" t="s">
        <v>47</v>
      </c>
      <c r="E426" s="17" t="s">
        <v>48</v>
      </c>
      <c r="F426" s="5">
        <f>ROUND(SUMIF([1]开票!$A$2:$A$1750,[1]申请!AQ426,[1]开票!$C$2:$C$1750),2)</f>
        <v>46</v>
      </c>
      <c r="G426" s="5">
        <f>ROUND(SUMIF([1]开票!$A$2:$A$1750,[1]申请!AQ426,[1]开票!$D$2:$D$1750),2)</f>
        <v>7373.38</v>
      </c>
      <c r="H426" s="5">
        <f>ROUND(SUMIF([1]开票!$A$2:$A$1750,[1]申请!AQ426,[1]开票!$E$2:$E$1750),2)</f>
        <v>2.3</v>
      </c>
      <c r="I426" s="5">
        <f t="shared" si="96"/>
        <v>7421.68</v>
      </c>
      <c r="J426" s="12">
        <v>46</v>
      </c>
      <c r="K426" s="12"/>
      <c r="L426" s="12"/>
      <c r="M426" s="12"/>
      <c r="N426" s="12"/>
      <c r="O426" s="12"/>
      <c r="P426" s="12"/>
      <c r="Q426" s="12"/>
      <c r="R426" s="12"/>
      <c r="S426" s="12">
        <v>5954.53</v>
      </c>
      <c r="T426" s="12">
        <v>29.52</v>
      </c>
      <c r="U426" s="12">
        <v>1371.33</v>
      </c>
      <c r="V426" s="12">
        <v>2.3</v>
      </c>
      <c r="W426" s="12">
        <v>18</v>
      </c>
      <c r="X426" s="12"/>
      <c r="Y426" s="12"/>
      <c r="Z426" s="12"/>
      <c r="AA426" s="12"/>
      <c r="AB426" s="12"/>
      <c r="AC426" s="12"/>
      <c r="AD426" s="12">
        <f t="shared" si="97"/>
        <v>7421.68</v>
      </c>
      <c r="AE426" s="13">
        <f t="shared" si="98"/>
        <v>0</v>
      </c>
      <c r="AF426" s="14">
        <f t="shared" si="99"/>
        <v>0</v>
      </c>
      <c r="AG426" s="13">
        <f t="shared" si="100"/>
        <v>2.3</v>
      </c>
      <c r="AH426" s="13">
        <f t="shared" si="101"/>
        <v>0.16</v>
      </c>
      <c r="AI426" s="13">
        <f t="shared" si="102"/>
        <v>0.07</v>
      </c>
      <c r="AJ426" s="13">
        <f t="shared" si="103"/>
        <v>0.05</v>
      </c>
      <c r="AK426" s="13">
        <f t="shared" si="104"/>
        <v>0</v>
      </c>
      <c r="AL426" s="13">
        <f t="shared" si="105"/>
        <v>0</v>
      </c>
      <c r="AM426" s="13">
        <f t="shared" si="106"/>
        <v>2.3</v>
      </c>
      <c r="AN426" s="13">
        <f t="shared" si="107"/>
        <v>0.16</v>
      </c>
      <c r="AO426" s="13">
        <f t="shared" si="108"/>
        <v>0.07</v>
      </c>
      <c r="AP426" s="13">
        <f t="shared" si="109"/>
        <v>0.05</v>
      </c>
      <c r="AQ426" s="13" t="str">
        <f t="shared" si="110"/>
        <v>TJ202511281704000585051</v>
      </c>
      <c r="AR426" s="13">
        <f t="shared" si="111"/>
        <v>0.05</v>
      </c>
    </row>
    <row r="427" spans="1:44">
      <c r="A427" s="29" t="s">
        <v>681</v>
      </c>
      <c r="B427" s="17" t="s">
        <v>650</v>
      </c>
      <c r="C427" s="17" t="s">
        <v>46</v>
      </c>
      <c r="D427" s="17" t="s">
        <v>47</v>
      </c>
      <c r="E427" s="17" t="s">
        <v>48</v>
      </c>
      <c r="F427" s="5">
        <f>ROUND(SUMIF([1]开票!$A$2:$A$1750,[1]申请!AQ427,[1]开票!$C$2:$C$1750),2)</f>
        <v>92</v>
      </c>
      <c r="G427" s="5">
        <f>ROUND(SUMIF([1]开票!$A$2:$A$1750,[1]申请!AQ427,[1]开票!$D$2:$D$1750),2)</f>
        <v>16427.8</v>
      </c>
      <c r="H427" s="5">
        <f>ROUND(SUMIF([1]开票!$A$2:$A$1750,[1]申请!AQ427,[1]开票!$E$2:$E$1750),2)</f>
        <v>4.6</v>
      </c>
      <c r="I427" s="5">
        <f t="shared" si="96"/>
        <v>16524.4</v>
      </c>
      <c r="J427" s="12">
        <v>92</v>
      </c>
      <c r="K427" s="12"/>
      <c r="L427" s="12"/>
      <c r="M427" s="12"/>
      <c r="N427" s="12"/>
      <c r="O427" s="12"/>
      <c r="P427" s="12"/>
      <c r="Q427" s="12"/>
      <c r="R427" s="12"/>
      <c r="S427" s="12">
        <v>13539.66</v>
      </c>
      <c r="T427" s="12">
        <v>109.48</v>
      </c>
      <c r="U427" s="12">
        <v>2742.66</v>
      </c>
      <c r="V427" s="12">
        <v>4.6</v>
      </c>
      <c r="W427" s="12">
        <v>36</v>
      </c>
      <c r="X427" s="12"/>
      <c r="Y427" s="12"/>
      <c r="Z427" s="12"/>
      <c r="AA427" s="12"/>
      <c r="AB427" s="12"/>
      <c r="AC427" s="12"/>
      <c r="AD427" s="12">
        <f t="shared" si="97"/>
        <v>16524.4</v>
      </c>
      <c r="AE427" s="13">
        <f t="shared" si="98"/>
        <v>0</v>
      </c>
      <c r="AF427" s="14">
        <f t="shared" si="99"/>
        <v>0</v>
      </c>
      <c r="AG427" s="13">
        <f t="shared" si="100"/>
        <v>4.6</v>
      </c>
      <c r="AH427" s="13">
        <f t="shared" si="101"/>
        <v>0.32</v>
      </c>
      <c r="AI427" s="13">
        <f t="shared" si="102"/>
        <v>0.14</v>
      </c>
      <c r="AJ427" s="13">
        <f t="shared" si="103"/>
        <v>0.09</v>
      </c>
      <c r="AK427" s="13">
        <f t="shared" si="104"/>
        <v>0</v>
      </c>
      <c r="AL427" s="13">
        <f t="shared" si="105"/>
        <v>0</v>
      </c>
      <c r="AM427" s="13">
        <f t="shared" si="106"/>
        <v>4.6</v>
      </c>
      <c r="AN427" s="13">
        <f t="shared" si="107"/>
        <v>0.32</v>
      </c>
      <c r="AO427" s="13">
        <f t="shared" si="108"/>
        <v>0.14</v>
      </c>
      <c r="AP427" s="13">
        <f t="shared" si="109"/>
        <v>0.09</v>
      </c>
      <c r="AQ427" s="13" t="str">
        <f t="shared" si="110"/>
        <v>TJ202511281706000008548</v>
      </c>
      <c r="AR427" s="13">
        <f t="shared" si="111"/>
        <v>0.05</v>
      </c>
    </row>
    <row r="428" spans="1:44">
      <c r="A428" s="29" t="s">
        <v>682</v>
      </c>
      <c r="B428" s="17" t="s">
        <v>650</v>
      </c>
      <c r="C428" s="17" t="s">
        <v>46</v>
      </c>
      <c r="D428" s="17" t="s">
        <v>47</v>
      </c>
      <c r="E428" s="17" t="s">
        <v>48</v>
      </c>
      <c r="F428" s="5">
        <f>ROUND(SUMIF([1]开票!$A$2:$A$1750,[1]申请!AQ428,[1]开票!$C$2:$C$1750),2)</f>
        <v>966</v>
      </c>
      <c r="G428" s="5">
        <f>ROUND(SUMIF([1]开票!$A$2:$A$1750,[1]申请!AQ428,[1]开票!$D$2:$D$1750),2)</f>
        <v>114668.27</v>
      </c>
      <c r="H428" s="5">
        <f>ROUND(SUMIF([1]开票!$A$2:$A$1750,[1]申请!AQ428,[1]开票!$E$2:$E$1750),2)</f>
        <v>48.3</v>
      </c>
      <c r="I428" s="5">
        <f t="shared" si="96"/>
        <v>115682.57</v>
      </c>
      <c r="J428" s="12">
        <v>966</v>
      </c>
      <c r="K428" s="12"/>
      <c r="L428" s="12"/>
      <c r="M428" s="12"/>
      <c r="N428" s="12"/>
      <c r="O428" s="12"/>
      <c r="P428" s="12"/>
      <c r="Q428" s="12"/>
      <c r="R428" s="12"/>
      <c r="S428" s="12">
        <v>86293.58</v>
      </c>
      <c r="T428" s="12">
        <v>569.19</v>
      </c>
      <c r="U428" s="12">
        <v>27427.5</v>
      </c>
      <c r="V428" s="12">
        <v>48.3</v>
      </c>
      <c r="W428" s="12">
        <v>378</v>
      </c>
      <c r="X428" s="12"/>
      <c r="Y428" s="12"/>
      <c r="Z428" s="12"/>
      <c r="AA428" s="12"/>
      <c r="AB428" s="12"/>
      <c r="AC428" s="12"/>
      <c r="AD428" s="12">
        <f t="shared" si="97"/>
        <v>115682.57</v>
      </c>
      <c r="AE428" s="13">
        <f t="shared" si="98"/>
        <v>0</v>
      </c>
      <c r="AF428" s="14">
        <f t="shared" si="99"/>
        <v>0</v>
      </c>
      <c r="AG428" s="13">
        <f t="shared" si="100"/>
        <v>48.3</v>
      </c>
      <c r="AH428" s="13">
        <f t="shared" si="101"/>
        <v>3.38</v>
      </c>
      <c r="AI428" s="13">
        <f t="shared" si="102"/>
        <v>1.45</v>
      </c>
      <c r="AJ428" s="13">
        <f t="shared" si="103"/>
        <v>0.97</v>
      </c>
      <c r="AK428" s="13">
        <f t="shared" si="104"/>
        <v>0</v>
      </c>
      <c r="AL428" s="13">
        <f t="shared" si="105"/>
        <v>0</v>
      </c>
      <c r="AM428" s="13">
        <f t="shared" si="106"/>
        <v>48.3</v>
      </c>
      <c r="AN428" s="13">
        <f t="shared" si="107"/>
        <v>3.38</v>
      </c>
      <c r="AO428" s="13">
        <f t="shared" si="108"/>
        <v>1.45</v>
      </c>
      <c r="AP428" s="13">
        <f t="shared" si="109"/>
        <v>0.97</v>
      </c>
      <c r="AQ428" s="13" t="str">
        <f t="shared" si="110"/>
        <v>TJ202511281707000093213</v>
      </c>
      <c r="AR428" s="13">
        <f t="shared" si="111"/>
        <v>0.05</v>
      </c>
    </row>
    <row r="429" spans="1:44">
      <c r="A429" s="29" t="s">
        <v>683</v>
      </c>
      <c r="B429" s="17" t="s">
        <v>684</v>
      </c>
      <c r="C429" s="17" t="s">
        <v>46</v>
      </c>
      <c r="D429" s="17" t="s">
        <v>47</v>
      </c>
      <c r="E429" s="17" t="s">
        <v>51</v>
      </c>
      <c r="F429" s="5">
        <f>ROUND(SUMIF([1]开票!$A$2:$A$1750,[1]申请!AQ429,[1]开票!$C$2:$C$1750),2)</f>
        <v>-48342.58</v>
      </c>
      <c r="G429" s="5">
        <f>ROUND(SUMIF([1]开票!$A$2:$A$1750,[1]申请!AQ429,[1]开票!$D$2:$D$1750),2)</f>
        <v>0</v>
      </c>
      <c r="H429" s="5">
        <f>ROUND(SUMIF([1]开票!$A$2:$A$1750,[1]申请!AQ429,[1]开票!$E$2:$E$1750),2)</f>
        <v>-2900.55</v>
      </c>
      <c r="I429" s="5">
        <f t="shared" si="96"/>
        <v>-51243.13</v>
      </c>
      <c r="J429" s="15">
        <v>-301</v>
      </c>
      <c r="K429" s="12"/>
      <c r="L429" s="12"/>
      <c r="M429" s="12"/>
      <c r="N429" s="12"/>
      <c r="O429" s="12"/>
      <c r="P429" s="12"/>
      <c r="Q429" s="12"/>
      <c r="R429" s="12"/>
      <c r="S429" s="15">
        <v>-41179.26</v>
      </c>
      <c r="T429" s="15">
        <v>-29.99</v>
      </c>
      <c r="U429" s="15">
        <v>-6534.08</v>
      </c>
      <c r="V429" s="12"/>
      <c r="W429" s="12"/>
      <c r="X429" s="12"/>
      <c r="Y429" s="15">
        <v>-3198.8</v>
      </c>
      <c r="Z429" s="12"/>
      <c r="AA429" s="12"/>
      <c r="AB429" s="12"/>
      <c r="AC429" s="12"/>
      <c r="AD429" s="12">
        <f t="shared" si="97"/>
        <v>-51243.13</v>
      </c>
      <c r="AE429" s="13">
        <f t="shared" si="98"/>
        <v>0</v>
      </c>
      <c r="AF429" s="14">
        <f t="shared" si="99"/>
        <v>0</v>
      </c>
      <c r="AG429" s="13">
        <f t="shared" si="100"/>
        <v>-2900.55</v>
      </c>
      <c r="AH429" s="13">
        <f t="shared" si="101"/>
        <v>-203.04</v>
      </c>
      <c r="AI429" s="13">
        <f t="shared" si="102"/>
        <v>-87.02</v>
      </c>
      <c r="AJ429" s="13">
        <f t="shared" si="103"/>
        <v>-58.01</v>
      </c>
      <c r="AK429" s="13">
        <f t="shared" si="104"/>
        <v>-2856.07142857143</v>
      </c>
      <c r="AL429" s="13">
        <f t="shared" si="105"/>
        <v>-342.73</v>
      </c>
      <c r="AM429" s="13">
        <f t="shared" si="106"/>
        <v>-44.48</v>
      </c>
      <c r="AN429" s="13">
        <f t="shared" si="107"/>
        <v>-3.11</v>
      </c>
      <c r="AO429" s="13">
        <f t="shared" si="108"/>
        <v>-1.33</v>
      </c>
      <c r="AP429" s="13">
        <f t="shared" si="109"/>
        <v>-0.9</v>
      </c>
      <c r="AQ429" s="13" t="str">
        <f t="shared" si="110"/>
        <v>TJ202506241527000580802</v>
      </c>
      <c r="AR429" s="13">
        <f>IF(E430="无全额",0,MID(E430,4,2)*1)</f>
        <v>0.06</v>
      </c>
    </row>
    <row r="430" spans="1:44">
      <c r="A430" s="48" t="s">
        <v>685</v>
      </c>
      <c r="B430" s="49" t="s">
        <v>686</v>
      </c>
      <c r="C430" s="49" t="s">
        <v>46</v>
      </c>
      <c r="D430" s="49" t="s">
        <v>47</v>
      </c>
      <c r="E430" s="49" t="s">
        <v>51</v>
      </c>
      <c r="F430" s="5">
        <f>ROUND(SUMIF([1]开票!$A$2:$A$1750,[1]申请!AQ430,[1]开票!$C$2:$C$1750),2)</f>
        <v>-198916.49</v>
      </c>
      <c r="G430" s="5">
        <f>ROUND(SUMIF([1]开票!$A$2:$A$1750,[1]申请!AQ430,[1]开票!$D$2:$D$1750),2)</f>
        <v>0</v>
      </c>
      <c r="H430" s="5">
        <f>ROUND(SUMIF([1]开票!$A$2:$A$1750,[1]申请!AQ430,[1]开票!$E$2:$E$1750),2)</f>
        <v>-11934.99</v>
      </c>
      <c r="I430" s="5">
        <f t="shared" si="96"/>
        <v>-210851.48</v>
      </c>
      <c r="J430" s="50"/>
      <c r="K430" s="50"/>
      <c r="L430" s="51">
        <v>-210851.48</v>
      </c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>
        <f t="shared" si="97"/>
        <v>-210851.48</v>
      </c>
      <c r="AE430" s="49">
        <f t="shared" si="98"/>
        <v>0</v>
      </c>
      <c r="AF430" s="52">
        <f t="shared" si="99"/>
        <v>0</v>
      </c>
      <c r="AG430" s="49">
        <f t="shared" si="100"/>
        <v>-11934.99</v>
      </c>
      <c r="AH430" s="49">
        <f t="shared" si="101"/>
        <v>-835.45</v>
      </c>
      <c r="AI430" s="49">
        <f t="shared" si="102"/>
        <v>-358.05</v>
      </c>
      <c r="AJ430" s="49">
        <f t="shared" si="103"/>
        <v>-238.7</v>
      </c>
      <c r="AK430" s="49">
        <f t="shared" si="104"/>
        <v>0</v>
      </c>
      <c r="AL430" s="49">
        <f t="shared" si="105"/>
        <v>0</v>
      </c>
      <c r="AM430" s="49">
        <f t="shared" si="106"/>
        <v>-11934.99</v>
      </c>
      <c r="AN430" s="49">
        <f t="shared" si="107"/>
        <v>-835.45</v>
      </c>
      <c r="AO430" s="49">
        <f t="shared" si="108"/>
        <v>-358.05</v>
      </c>
      <c r="AP430" s="49">
        <f t="shared" si="109"/>
        <v>-238.7</v>
      </c>
      <c r="AQ430" s="49" t="str">
        <f t="shared" si="110"/>
        <v>TJ202507171634000223572</v>
      </c>
      <c r="AR430" s="11">
        <v>0.06</v>
      </c>
    </row>
    <row r="431" spans="1:44">
      <c r="A431" s="29" t="s">
        <v>687</v>
      </c>
      <c r="B431" s="17" t="s">
        <v>688</v>
      </c>
      <c r="C431" s="17" t="s">
        <v>46</v>
      </c>
      <c r="D431" s="17" t="s">
        <v>47</v>
      </c>
      <c r="E431" s="17" t="s">
        <v>48</v>
      </c>
      <c r="F431" s="5">
        <f>ROUND(SUMIF([1]开票!$A$2:$A$1750,[1]申请!AQ431,[1]开票!$C$2:$C$1750),2)</f>
        <v>0</v>
      </c>
      <c r="G431" s="5">
        <f>ROUND(SUMIF([1]开票!$A$2:$A$1750,[1]申请!AQ431,[1]开票!$D$2:$D$1750),2)</f>
        <v>380.55</v>
      </c>
      <c r="H431" s="5">
        <f>ROUND(SUMIF([1]开票!$A$2:$A$1750,[1]申请!AQ431,[1]开票!$E$2:$E$1750),2)</f>
        <v>0</v>
      </c>
      <c r="I431" s="5">
        <f t="shared" si="96"/>
        <v>380.55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5">
        <v>380.55</v>
      </c>
      <c r="U431" s="12"/>
      <c r="V431" s="12"/>
      <c r="W431" s="12"/>
      <c r="X431" s="12"/>
      <c r="Y431" s="12"/>
      <c r="Z431" s="12"/>
      <c r="AA431" s="12"/>
      <c r="AB431" s="12"/>
      <c r="AC431" s="12"/>
      <c r="AD431" s="12">
        <f t="shared" si="97"/>
        <v>380.55</v>
      </c>
      <c r="AE431" s="13">
        <f t="shared" si="98"/>
        <v>0</v>
      </c>
      <c r="AF431" s="14">
        <f t="shared" si="99"/>
        <v>0</v>
      </c>
      <c r="AG431" s="13">
        <f t="shared" si="100"/>
        <v>0</v>
      </c>
      <c r="AH431" s="13">
        <f t="shared" si="101"/>
        <v>0</v>
      </c>
      <c r="AI431" s="13">
        <f t="shared" si="102"/>
        <v>0</v>
      </c>
      <c r="AJ431" s="13">
        <f t="shared" si="103"/>
        <v>0</v>
      </c>
      <c r="AK431" s="13">
        <f t="shared" si="104"/>
        <v>0</v>
      </c>
      <c r="AL431" s="13">
        <f t="shared" si="105"/>
        <v>0</v>
      </c>
      <c r="AM431" s="13">
        <f t="shared" si="106"/>
        <v>0</v>
      </c>
      <c r="AN431" s="13">
        <f t="shared" si="107"/>
        <v>0</v>
      </c>
      <c r="AO431" s="13">
        <f t="shared" si="108"/>
        <v>0</v>
      </c>
      <c r="AP431" s="13">
        <f t="shared" si="109"/>
        <v>0</v>
      </c>
      <c r="AQ431" s="13" t="str">
        <f t="shared" si="110"/>
        <v>TJ202508271031000450207</v>
      </c>
      <c r="AR431" s="13">
        <f t="shared" ref="AR431:AR454" si="112">IF(E431="无全额",0,MID(E431,4,2)*1)</f>
        <v>0.05</v>
      </c>
    </row>
    <row r="432" spans="1:44">
      <c r="A432" s="29" t="s">
        <v>689</v>
      </c>
      <c r="B432" s="17" t="s">
        <v>303</v>
      </c>
      <c r="C432" s="17" t="s">
        <v>46</v>
      </c>
      <c r="D432" s="17" t="s">
        <v>47</v>
      </c>
      <c r="E432" s="17" t="s">
        <v>51</v>
      </c>
      <c r="F432" s="5">
        <f>ROUND(SUMIF([1]开票!$A$2:$A$1750,[1]申请!AQ432,[1]开票!$C$2:$C$1750),2)</f>
        <v>-2440.02</v>
      </c>
      <c r="G432" s="5">
        <f>ROUND(SUMIF([1]开票!$A$2:$A$1750,[1]申请!AQ432,[1]开票!$D$2:$D$1750),2)</f>
        <v>0</v>
      </c>
      <c r="H432" s="5">
        <f>ROUND(SUMIF([1]开票!$A$2:$A$1750,[1]申请!AQ432,[1]开票!$E$2:$E$1750),2)</f>
        <v>-146.4</v>
      </c>
      <c r="I432" s="5">
        <f t="shared" si="96"/>
        <v>-2586.42</v>
      </c>
      <c r="J432" s="12"/>
      <c r="K432" s="12"/>
      <c r="L432" s="15">
        <v>-2586.42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>
        <f t="shared" si="97"/>
        <v>-2586.42</v>
      </c>
      <c r="AE432" s="13">
        <f t="shared" si="98"/>
        <v>0</v>
      </c>
      <c r="AF432" s="14">
        <f t="shared" si="99"/>
        <v>0</v>
      </c>
      <c r="AG432" s="13">
        <f t="shared" si="100"/>
        <v>-146.4</v>
      </c>
      <c r="AH432" s="13">
        <f t="shared" si="101"/>
        <v>-10.25</v>
      </c>
      <c r="AI432" s="13">
        <f t="shared" si="102"/>
        <v>-4.39</v>
      </c>
      <c r="AJ432" s="13">
        <f t="shared" si="103"/>
        <v>-2.93</v>
      </c>
      <c r="AK432" s="13">
        <f t="shared" si="104"/>
        <v>0</v>
      </c>
      <c r="AL432" s="13">
        <f t="shared" si="105"/>
        <v>0</v>
      </c>
      <c r="AM432" s="13">
        <f t="shared" si="106"/>
        <v>-146.4</v>
      </c>
      <c r="AN432" s="13">
        <f t="shared" si="107"/>
        <v>-10.25</v>
      </c>
      <c r="AO432" s="13">
        <f t="shared" si="108"/>
        <v>-4.39</v>
      </c>
      <c r="AP432" s="13">
        <f t="shared" si="109"/>
        <v>-2.93</v>
      </c>
      <c r="AQ432" s="13" t="str">
        <f t="shared" si="110"/>
        <v>TJ202510201433000148480</v>
      </c>
      <c r="AR432" s="13">
        <f t="shared" si="112"/>
        <v>0.06</v>
      </c>
    </row>
    <row r="433" spans="1:44">
      <c r="A433" s="29" t="s">
        <v>690</v>
      </c>
      <c r="B433" s="17" t="s">
        <v>688</v>
      </c>
      <c r="C433" s="17" t="s">
        <v>46</v>
      </c>
      <c r="D433" s="17" t="s">
        <v>47</v>
      </c>
      <c r="E433" s="17" t="s">
        <v>48</v>
      </c>
      <c r="F433" s="5">
        <f>ROUND(SUMIF([1]开票!$A$2:$A$1750,[1]申请!AQ433,[1]开票!$C$2:$C$1750),2)</f>
        <v>766.67</v>
      </c>
      <c r="G433" s="5">
        <f>ROUND(SUMIF([1]开票!$A$2:$A$1750,[1]申请!AQ433,[1]开票!$D$2:$D$1750),2)</f>
        <v>395720.07</v>
      </c>
      <c r="H433" s="5">
        <f>ROUND(SUMIF([1]开票!$A$2:$A$1750,[1]申请!AQ433,[1]开票!$E$2:$E$1750),2)</f>
        <v>38.33</v>
      </c>
      <c r="I433" s="5">
        <f t="shared" si="96"/>
        <v>396525.07</v>
      </c>
      <c r="J433" s="12"/>
      <c r="K433" s="15">
        <v>805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5">
        <v>373322.07</v>
      </c>
      <c r="V433" s="15">
        <v>22398</v>
      </c>
      <c r="W433" s="12"/>
      <c r="X433" s="12"/>
      <c r="Y433" s="12"/>
      <c r="Z433" s="12"/>
      <c r="AA433" s="12"/>
      <c r="AB433" s="12"/>
      <c r="AC433" s="12"/>
      <c r="AD433" s="12">
        <f t="shared" si="97"/>
        <v>396525.07</v>
      </c>
      <c r="AE433" s="13">
        <f t="shared" si="98"/>
        <v>0</v>
      </c>
      <c r="AF433" s="14">
        <f t="shared" si="99"/>
        <v>0</v>
      </c>
      <c r="AG433" s="13">
        <f t="shared" si="100"/>
        <v>38.33</v>
      </c>
      <c r="AH433" s="13">
        <f t="shared" si="101"/>
        <v>2.68</v>
      </c>
      <c r="AI433" s="13">
        <f t="shared" si="102"/>
        <v>1.15</v>
      </c>
      <c r="AJ433" s="13">
        <f t="shared" si="103"/>
        <v>0.77</v>
      </c>
      <c r="AK433" s="13">
        <f t="shared" si="104"/>
        <v>0</v>
      </c>
      <c r="AL433" s="13">
        <f t="shared" si="105"/>
        <v>0</v>
      </c>
      <c r="AM433" s="13">
        <f t="shared" si="106"/>
        <v>38.33</v>
      </c>
      <c r="AN433" s="13">
        <f t="shared" si="107"/>
        <v>2.68</v>
      </c>
      <c r="AO433" s="13">
        <f t="shared" si="108"/>
        <v>1.15</v>
      </c>
      <c r="AP433" s="13">
        <f t="shared" si="109"/>
        <v>0.77</v>
      </c>
      <c r="AQ433" s="13" t="str">
        <f t="shared" si="110"/>
        <v>TJ202510311358000363228</v>
      </c>
      <c r="AR433" s="13">
        <f t="shared" si="112"/>
        <v>0.05</v>
      </c>
    </row>
    <row r="434" spans="1:44">
      <c r="A434" s="29" t="s">
        <v>691</v>
      </c>
      <c r="B434" s="17" t="s">
        <v>692</v>
      </c>
      <c r="C434" s="17" t="s">
        <v>46</v>
      </c>
      <c r="D434" s="17" t="s">
        <v>47</v>
      </c>
      <c r="E434" s="17" t="s">
        <v>48</v>
      </c>
      <c r="F434" s="5">
        <f>ROUND(SUMIF([1]开票!$A$2:$A$1750,[1]申请!AQ434,[1]开票!$C$2:$C$1750),2)</f>
        <v>22.86</v>
      </c>
      <c r="G434" s="5">
        <f>ROUND(SUMIF([1]开票!$A$2:$A$1750,[1]申请!AQ434,[1]开票!$D$2:$D$1750),2)</f>
        <v>163119.3</v>
      </c>
      <c r="H434" s="5">
        <f>ROUND(SUMIF([1]开票!$A$2:$A$1750,[1]申请!AQ434,[1]开票!$E$2:$E$1750),2)</f>
        <v>1.14</v>
      </c>
      <c r="I434" s="5">
        <f t="shared" si="96"/>
        <v>163143.3</v>
      </c>
      <c r="J434" s="12"/>
      <c r="K434" s="15">
        <v>24</v>
      </c>
      <c r="L434" s="12"/>
      <c r="M434" s="12"/>
      <c r="N434" s="12"/>
      <c r="O434" s="12"/>
      <c r="P434" s="12"/>
      <c r="Q434" s="12"/>
      <c r="R434" s="12"/>
      <c r="S434" s="15">
        <v>152341.25</v>
      </c>
      <c r="T434" s="15">
        <v>10778.05</v>
      </c>
      <c r="U434" s="12"/>
      <c r="V434" s="12"/>
      <c r="W434" s="12"/>
      <c r="X434" s="12"/>
      <c r="Y434" s="12"/>
      <c r="Z434" s="12"/>
      <c r="AA434" s="12"/>
      <c r="AB434" s="12"/>
      <c r="AC434" s="12"/>
      <c r="AD434" s="12">
        <f t="shared" si="97"/>
        <v>163143.3</v>
      </c>
      <c r="AE434" s="13">
        <f t="shared" si="98"/>
        <v>0</v>
      </c>
      <c r="AF434" s="14">
        <f t="shared" si="99"/>
        <v>0</v>
      </c>
      <c r="AG434" s="13">
        <f t="shared" si="100"/>
        <v>1.14</v>
      </c>
      <c r="AH434" s="13">
        <f t="shared" si="101"/>
        <v>0.08</v>
      </c>
      <c r="AI434" s="13">
        <f t="shared" si="102"/>
        <v>0.03</v>
      </c>
      <c r="AJ434" s="13">
        <f t="shared" si="103"/>
        <v>0.02</v>
      </c>
      <c r="AK434" s="13">
        <f t="shared" si="104"/>
        <v>0</v>
      </c>
      <c r="AL434" s="13">
        <f t="shared" si="105"/>
        <v>0</v>
      </c>
      <c r="AM434" s="13">
        <f t="shared" si="106"/>
        <v>1.14</v>
      </c>
      <c r="AN434" s="13">
        <f t="shared" si="107"/>
        <v>0.08</v>
      </c>
      <c r="AO434" s="13">
        <f t="shared" si="108"/>
        <v>0.03</v>
      </c>
      <c r="AP434" s="13">
        <f t="shared" si="109"/>
        <v>0.02</v>
      </c>
      <c r="AQ434" s="13" t="str">
        <f t="shared" si="110"/>
        <v>TJ202511051133000576058</v>
      </c>
      <c r="AR434" s="13">
        <f t="shared" si="112"/>
        <v>0.05</v>
      </c>
    </row>
    <row r="435" spans="1:44">
      <c r="A435" s="29" t="s">
        <v>693</v>
      </c>
      <c r="B435" s="17" t="s">
        <v>688</v>
      </c>
      <c r="C435" s="17" t="s">
        <v>46</v>
      </c>
      <c r="D435" s="17" t="s">
        <v>47</v>
      </c>
      <c r="E435" s="17" t="s">
        <v>48</v>
      </c>
      <c r="F435" s="5">
        <f>ROUND(SUMIF([1]开票!$A$2:$A$1750,[1]申请!AQ435,[1]开票!$C$2:$C$1750),2)</f>
        <v>5.71</v>
      </c>
      <c r="G435" s="5">
        <f>ROUND(SUMIF([1]开票!$A$2:$A$1750,[1]申请!AQ435,[1]开票!$D$2:$D$1750),2)</f>
        <v>3597.24</v>
      </c>
      <c r="H435" s="5">
        <f>ROUND(SUMIF([1]开票!$A$2:$A$1750,[1]申请!AQ435,[1]开票!$E$2:$E$1750),2)</f>
        <v>0.29</v>
      </c>
      <c r="I435" s="5">
        <f t="shared" si="96"/>
        <v>3603.24</v>
      </c>
      <c r="J435" s="12"/>
      <c r="K435" s="15">
        <v>6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5">
        <v>3597.24</v>
      </c>
      <c r="V435" s="12"/>
      <c r="W435" s="12"/>
      <c r="X435" s="12"/>
      <c r="Y435" s="12"/>
      <c r="Z435" s="12"/>
      <c r="AA435" s="12"/>
      <c r="AB435" s="12"/>
      <c r="AC435" s="12"/>
      <c r="AD435" s="12">
        <f t="shared" si="97"/>
        <v>3603.24</v>
      </c>
      <c r="AE435" s="13">
        <f t="shared" si="98"/>
        <v>0</v>
      </c>
      <c r="AF435" s="14">
        <f t="shared" si="99"/>
        <v>0</v>
      </c>
      <c r="AG435" s="13">
        <f t="shared" si="100"/>
        <v>0.29</v>
      </c>
      <c r="AH435" s="13">
        <f t="shared" si="101"/>
        <v>0.02</v>
      </c>
      <c r="AI435" s="13">
        <f t="shared" si="102"/>
        <v>0.01</v>
      </c>
      <c r="AJ435" s="13">
        <f t="shared" si="103"/>
        <v>0.01</v>
      </c>
      <c r="AK435" s="13">
        <f t="shared" si="104"/>
        <v>0</v>
      </c>
      <c r="AL435" s="13">
        <f t="shared" si="105"/>
        <v>0</v>
      </c>
      <c r="AM435" s="13">
        <f t="shared" si="106"/>
        <v>0.29</v>
      </c>
      <c r="AN435" s="13">
        <f t="shared" si="107"/>
        <v>0.02</v>
      </c>
      <c r="AO435" s="13">
        <f t="shared" si="108"/>
        <v>0.01</v>
      </c>
      <c r="AP435" s="13">
        <f t="shared" si="109"/>
        <v>0.01</v>
      </c>
      <c r="AQ435" s="13" t="str">
        <f t="shared" si="110"/>
        <v>TJ202511141423000344390</v>
      </c>
      <c r="AR435" s="13">
        <f t="shared" si="112"/>
        <v>0.05</v>
      </c>
    </row>
    <row r="436" spans="1:44">
      <c r="A436" s="29" t="s">
        <v>694</v>
      </c>
      <c r="B436" s="17" t="s">
        <v>688</v>
      </c>
      <c r="C436" s="17" t="s">
        <v>46</v>
      </c>
      <c r="D436" s="17" t="s">
        <v>47</v>
      </c>
      <c r="E436" s="17" t="s">
        <v>48</v>
      </c>
      <c r="F436" s="5">
        <f>ROUND(SUMIF([1]开票!$A$2:$A$1750,[1]申请!AQ436,[1]开票!$C$2:$C$1750),2)</f>
        <v>99.05</v>
      </c>
      <c r="G436" s="5">
        <f>ROUND(SUMIF([1]开票!$A$2:$A$1750,[1]申请!AQ436,[1]开票!$D$2:$D$1750),2)</f>
        <v>91794.04</v>
      </c>
      <c r="H436" s="5">
        <f>ROUND(SUMIF([1]开票!$A$2:$A$1750,[1]申请!AQ436,[1]开票!$E$2:$E$1750),2)</f>
        <v>4.95</v>
      </c>
      <c r="I436" s="5">
        <f t="shared" si="96"/>
        <v>91898.04</v>
      </c>
      <c r="J436" s="12"/>
      <c r="K436" s="15">
        <v>104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5">
        <v>91794.04</v>
      </c>
      <c r="V436" s="12"/>
      <c r="W436" s="12"/>
      <c r="X436" s="12"/>
      <c r="Y436" s="12"/>
      <c r="Z436" s="12"/>
      <c r="AA436" s="12"/>
      <c r="AB436" s="12"/>
      <c r="AC436" s="12"/>
      <c r="AD436" s="12">
        <f t="shared" si="97"/>
        <v>91898.04</v>
      </c>
      <c r="AE436" s="13">
        <f t="shared" si="98"/>
        <v>0</v>
      </c>
      <c r="AF436" s="14">
        <f t="shared" si="99"/>
        <v>0</v>
      </c>
      <c r="AG436" s="13">
        <f t="shared" si="100"/>
        <v>4.95</v>
      </c>
      <c r="AH436" s="13">
        <f t="shared" si="101"/>
        <v>0.35</v>
      </c>
      <c r="AI436" s="13">
        <f t="shared" si="102"/>
        <v>0.15</v>
      </c>
      <c r="AJ436" s="13">
        <f t="shared" si="103"/>
        <v>0.1</v>
      </c>
      <c r="AK436" s="13">
        <f t="shared" si="104"/>
        <v>0</v>
      </c>
      <c r="AL436" s="13">
        <f t="shared" si="105"/>
        <v>0</v>
      </c>
      <c r="AM436" s="13">
        <f t="shared" si="106"/>
        <v>4.95</v>
      </c>
      <c r="AN436" s="13">
        <f t="shared" si="107"/>
        <v>0.35</v>
      </c>
      <c r="AO436" s="13">
        <f t="shared" si="108"/>
        <v>0.15</v>
      </c>
      <c r="AP436" s="13">
        <f t="shared" si="109"/>
        <v>0.1</v>
      </c>
      <c r="AQ436" s="13" t="str">
        <f t="shared" si="110"/>
        <v>TJ202511201334000128183</v>
      </c>
      <c r="AR436" s="13">
        <f t="shared" si="112"/>
        <v>0.05</v>
      </c>
    </row>
    <row r="437" spans="1:44">
      <c r="A437" s="29" t="s">
        <v>695</v>
      </c>
      <c r="B437" s="17" t="s">
        <v>696</v>
      </c>
      <c r="C437" s="17" t="s">
        <v>46</v>
      </c>
      <c r="D437" s="17" t="s">
        <v>47</v>
      </c>
      <c r="E437" s="17" t="s">
        <v>48</v>
      </c>
      <c r="F437" s="5">
        <f>ROUND(SUMIF([1]开票!$A$2:$A$1750,[1]申请!AQ437,[1]开票!$C$2:$C$1750),2)</f>
        <v>-360</v>
      </c>
      <c r="G437" s="5">
        <f>ROUND(SUMIF([1]开票!$A$2:$A$1750,[1]申请!AQ437,[1]开票!$D$2:$D$1750),2)</f>
        <v>-12131.99</v>
      </c>
      <c r="H437" s="5">
        <f>ROUND(SUMIF([1]开票!$A$2:$A$1750,[1]申请!AQ437,[1]开票!$E$2:$E$1750),2)</f>
        <v>-18</v>
      </c>
      <c r="I437" s="5">
        <f t="shared" si="96"/>
        <v>-12509.99</v>
      </c>
      <c r="J437" s="15">
        <v>-378</v>
      </c>
      <c r="K437" s="12"/>
      <c r="L437" s="12"/>
      <c r="M437" s="12"/>
      <c r="N437" s="12"/>
      <c r="O437" s="12"/>
      <c r="P437" s="12"/>
      <c r="Q437" s="12"/>
      <c r="R437" s="12"/>
      <c r="S437" s="15">
        <v>-7466.06</v>
      </c>
      <c r="T437" s="15">
        <v>-76.27</v>
      </c>
      <c r="U437" s="15">
        <v>-3679.66</v>
      </c>
      <c r="V437" s="15">
        <v>-840</v>
      </c>
      <c r="W437" s="12"/>
      <c r="X437" s="15">
        <v>-70</v>
      </c>
      <c r="Y437" s="12"/>
      <c r="Z437" s="12"/>
      <c r="AA437" s="12"/>
      <c r="AB437" s="12"/>
      <c r="AC437" s="12"/>
      <c r="AD437" s="12">
        <f t="shared" si="97"/>
        <v>-12509.99</v>
      </c>
      <c r="AE437" s="13">
        <f t="shared" si="98"/>
        <v>0</v>
      </c>
      <c r="AF437" s="14">
        <f t="shared" si="99"/>
        <v>0</v>
      </c>
      <c r="AG437" s="13">
        <f t="shared" si="100"/>
        <v>-18</v>
      </c>
      <c r="AH437" s="13">
        <f t="shared" si="101"/>
        <v>-1.26</v>
      </c>
      <c r="AI437" s="13">
        <f t="shared" si="102"/>
        <v>-0.54</v>
      </c>
      <c r="AJ437" s="13">
        <f t="shared" si="103"/>
        <v>-0.36</v>
      </c>
      <c r="AK437" s="13">
        <f t="shared" si="104"/>
        <v>0</v>
      </c>
      <c r="AL437" s="13">
        <f t="shared" si="105"/>
        <v>0</v>
      </c>
      <c r="AM437" s="13">
        <f t="shared" si="106"/>
        <v>-18</v>
      </c>
      <c r="AN437" s="13">
        <f t="shared" si="107"/>
        <v>-1.26</v>
      </c>
      <c r="AO437" s="13">
        <f t="shared" si="108"/>
        <v>-0.54</v>
      </c>
      <c r="AP437" s="13">
        <f t="shared" si="109"/>
        <v>-0.36</v>
      </c>
      <c r="AQ437" s="13" t="str">
        <f t="shared" si="110"/>
        <v>TJ202511211018000583839</v>
      </c>
      <c r="AR437" s="13">
        <f t="shared" si="112"/>
        <v>0.05</v>
      </c>
    </row>
    <row r="438" spans="1:44">
      <c r="A438" s="29" t="s">
        <v>697</v>
      </c>
      <c r="B438" s="17" t="s">
        <v>698</v>
      </c>
      <c r="C438" s="17" t="s">
        <v>46</v>
      </c>
      <c r="D438" s="17" t="s">
        <v>47</v>
      </c>
      <c r="E438" s="17" t="s">
        <v>48</v>
      </c>
      <c r="F438" s="5">
        <f>ROUND(SUMIF([1]开票!$A$2:$A$1750,[1]申请!AQ438,[1]开票!$C$2:$C$1750),2)</f>
        <v>-180</v>
      </c>
      <c r="G438" s="5">
        <f>ROUND(SUMIF([1]开票!$A$2:$A$1750,[1]申请!AQ438,[1]开票!$D$2:$D$1750),2)</f>
        <v>-3393.94</v>
      </c>
      <c r="H438" s="5">
        <f>ROUND(SUMIF([1]开票!$A$2:$A$1750,[1]申请!AQ438,[1]开票!$E$2:$E$1750),2)</f>
        <v>-9</v>
      </c>
      <c r="I438" s="5">
        <f t="shared" si="96"/>
        <v>-3582.94</v>
      </c>
      <c r="J438" s="15">
        <v>-189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5">
        <v>-2652.94</v>
      </c>
      <c r="V438" s="15">
        <v>-696</v>
      </c>
      <c r="W438" s="12"/>
      <c r="X438" s="15">
        <v>-45</v>
      </c>
      <c r="Y438" s="12"/>
      <c r="Z438" s="12"/>
      <c r="AA438" s="12"/>
      <c r="AB438" s="12"/>
      <c r="AC438" s="12"/>
      <c r="AD438" s="12">
        <f t="shared" si="97"/>
        <v>-3582.94</v>
      </c>
      <c r="AE438" s="13">
        <f t="shared" si="98"/>
        <v>0</v>
      </c>
      <c r="AF438" s="14">
        <f t="shared" si="99"/>
        <v>0</v>
      </c>
      <c r="AG438" s="13">
        <f t="shared" si="100"/>
        <v>-9</v>
      </c>
      <c r="AH438" s="13">
        <f t="shared" si="101"/>
        <v>-0.63</v>
      </c>
      <c r="AI438" s="13">
        <f t="shared" si="102"/>
        <v>-0.27</v>
      </c>
      <c r="AJ438" s="13">
        <f t="shared" si="103"/>
        <v>-0.18</v>
      </c>
      <c r="AK438" s="13">
        <f t="shared" si="104"/>
        <v>0</v>
      </c>
      <c r="AL438" s="13">
        <f t="shared" si="105"/>
        <v>0</v>
      </c>
      <c r="AM438" s="13">
        <f t="shared" si="106"/>
        <v>-9</v>
      </c>
      <c r="AN438" s="13">
        <f t="shared" si="107"/>
        <v>-0.63</v>
      </c>
      <c r="AO438" s="13">
        <f t="shared" si="108"/>
        <v>-0.27</v>
      </c>
      <c r="AP438" s="13">
        <f t="shared" si="109"/>
        <v>-0.18</v>
      </c>
      <c r="AQ438" s="13" t="str">
        <f t="shared" si="110"/>
        <v>TJ202511211022000404442</v>
      </c>
      <c r="AR438" s="13">
        <f t="shared" si="112"/>
        <v>0.05</v>
      </c>
    </row>
    <row r="439" spans="1:44">
      <c r="A439" s="29" t="s">
        <v>699</v>
      </c>
      <c r="B439" s="17" t="s">
        <v>688</v>
      </c>
      <c r="C439" s="17" t="s">
        <v>46</v>
      </c>
      <c r="D439" s="17" t="s">
        <v>47</v>
      </c>
      <c r="E439" s="17" t="s">
        <v>48</v>
      </c>
      <c r="F439" s="5">
        <f>ROUND(SUMIF([1]开票!$A$2:$A$1750,[1]申请!AQ439,[1]开票!$C$2:$C$1750),2)</f>
        <v>5.71</v>
      </c>
      <c r="G439" s="5">
        <f>ROUND(SUMIF([1]开票!$A$2:$A$1750,[1]申请!AQ439,[1]开票!$D$2:$D$1750),2)</f>
        <v>14442.57</v>
      </c>
      <c r="H439" s="5">
        <f>ROUND(SUMIF([1]开票!$A$2:$A$1750,[1]申请!AQ439,[1]开票!$E$2:$E$1750),2)</f>
        <v>0.29</v>
      </c>
      <c r="I439" s="5">
        <f t="shared" si="96"/>
        <v>14448.57</v>
      </c>
      <c r="J439" s="12"/>
      <c r="K439" s="15">
        <v>6</v>
      </c>
      <c r="L439" s="15"/>
      <c r="M439" s="12"/>
      <c r="N439" s="12"/>
      <c r="O439" s="12"/>
      <c r="P439" s="12"/>
      <c r="Q439" s="12"/>
      <c r="R439" s="12"/>
      <c r="S439" s="15">
        <v>14434.51</v>
      </c>
      <c r="T439" s="15">
        <v>8.06</v>
      </c>
      <c r="U439" s="12"/>
      <c r="V439" s="12"/>
      <c r="W439" s="12"/>
      <c r="X439" s="12"/>
      <c r="Y439" s="12"/>
      <c r="Z439" s="12"/>
      <c r="AA439" s="12"/>
      <c r="AB439" s="12"/>
      <c r="AC439" s="12"/>
      <c r="AD439" s="12">
        <f t="shared" si="97"/>
        <v>14448.57</v>
      </c>
      <c r="AE439" s="13">
        <f t="shared" si="98"/>
        <v>0</v>
      </c>
      <c r="AF439" s="14">
        <f t="shared" si="99"/>
        <v>0</v>
      </c>
      <c r="AG439" s="13">
        <f t="shared" si="100"/>
        <v>0.29</v>
      </c>
      <c r="AH439" s="13">
        <f t="shared" si="101"/>
        <v>0.02</v>
      </c>
      <c r="AI439" s="13">
        <f t="shared" si="102"/>
        <v>0.01</v>
      </c>
      <c r="AJ439" s="13">
        <f t="shared" si="103"/>
        <v>0.01</v>
      </c>
      <c r="AK439" s="13">
        <f t="shared" si="104"/>
        <v>0</v>
      </c>
      <c r="AL439" s="13">
        <f t="shared" si="105"/>
        <v>0</v>
      </c>
      <c r="AM439" s="13">
        <f t="shared" si="106"/>
        <v>0.29</v>
      </c>
      <c r="AN439" s="13">
        <f t="shared" si="107"/>
        <v>0.02</v>
      </c>
      <c r="AO439" s="13">
        <f t="shared" si="108"/>
        <v>0.01</v>
      </c>
      <c r="AP439" s="13">
        <f t="shared" si="109"/>
        <v>0.01</v>
      </c>
      <c r="AQ439" s="13" t="str">
        <f t="shared" si="110"/>
        <v>TJ202511211513000210268</v>
      </c>
      <c r="AR439" s="13">
        <f t="shared" si="112"/>
        <v>0.05</v>
      </c>
    </row>
    <row r="440" spans="1:44">
      <c r="A440" s="29" t="s">
        <v>700</v>
      </c>
      <c r="B440" s="17" t="s">
        <v>688</v>
      </c>
      <c r="C440" s="17" t="s">
        <v>46</v>
      </c>
      <c r="D440" s="17" t="s">
        <v>47</v>
      </c>
      <c r="E440" s="17" t="s">
        <v>48</v>
      </c>
      <c r="F440" s="5">
        <f>ROUND(SUMIF([1]开票!$A$2:$A$1750,[1]申请!AQ440,[1]开票!$C$2:$C$1750),2)</f>
        <v>696.67</v>
      </c>
      <c r="G440" s="5">
        <f>ROUND(SUMIF([1]开票!$A$2:$A$1750,[1]申请!AQ440,[1]开票!$D$2:$D$1750),2)</f>
        <v>372265.43</v>
      </c>
      <c r="H440" s="5">
        <f>ROUND(SUMIF([1]开票!$A$2:$A$1750,[1]申请!AQ440,[1]开票!$E$2:$E$1750),2)</f>
        <v>34.83</v>
      </c>
      <c r="I440" s="5">
        <f t="shared" si="96"/>
        <v>372996.93</v>
      </c>
      <c r="J440" s="12"/>
      <c r="K440" s="15">
        <v>731.5</v>
      </c>
      <c r="L440" s="15"/>
      <c r="M440" s="12"/>
      <c r="N440" s="12"/>
      <c r="O440" s="12"/>
      <c r="P440" s="12"/>
      <c r="Q440" s="12"/>
      <c r="R440" s="12"/>
      <c r="S440" s="12"/>
      <c r="T440" s="12"/>
      <c r="U440" s="15">
        <v>353647.43</v>
      </c>
      <c r="V440" s="15">
        <v>18618</v>
      </c>
      <c r="W440" s="12"/>
      <c r="X440" s="12"/>
      <c r="Y440" s="12"/>
      <c r="Z440" s="12"/>
      <c r="AA440" s="12"/>
      <c r="AB440" s="12"/>
      <c r="AC440" s="12"/>
      <c r="AD440" s="12">
        <f t="shared" si="97"/>
        <v>372996.93</v>
      </c>
      <c r="AE440" s="13">
        <f t="shared" si="98"/>
        <v>0</v>
      </c>
      <c r="AF440" s="14">
        <f t="shared" si="99"/>
        <v>0</v>
      </c>
      <c r="AG440" s="13">
        <f t="shared" si="100"/>
        <v>34.83</v>
      </c>
      <c r="AH440" s="13">
        <f t="shared" si="101"/>
        <v>2.44</v>
      </c>
      <c r="AI440" s="13">
        <f t="shared" si="102"/>
        <v>1.04</v>
      </c>
      <c r="AJ440" s="13">
        <f t="shared" si="103"/>
        <v>0.7</v>
      </c>
      <c r="AK440" s="13">
        <f t="shared" si="104"/>
        <v>0</v>
      </c>
      <c r="AL440" s="13">
        <f t="shared" si="105"/>
        <v>0</v>
      </c>
      <c r="AM440" s="13">
        <f t="shared" si="106"/>
        <v>34.83</v>
      </c>
      <c r="AN440" s="13">
        <f t="shared" si="107"/>
        <v>2.44</v>
      </c>
      <c r="AO440" s="13">
        <f t="shared" si="108"/>
        <v>1.04</v>
      </c>
      <c r="AP440" s="13">
        <f t="shared" si="109"/>
        <v>0.7</v>
      </c>
      <c r="AQ440" s="13" t="str">
        <f t="shared" si="110"/>
        <v>TJ202511271604000506062</v>
      </c>
      <c r="AR440" s="13">
        <f t="shared" si="112"/>
        <v>0.05</v>
      </c>
    </row>
    <row r="441" spans="1:44">
      <c r="A441" s="29" t="s">
        <v>701</v>
      </c>
      <c r="B441" s="17" t="s">
        <v>524</v>
      </c>
      <c r="C441" s="17" t="s">
        <v>46</v>
      </c>
      <c r="D441" s="17" t="s">
        <v>47</v>
      </c>
      <c r="E441" s="17" t="s">
        <v>48</v>
      </c>
      <c r="F441" s="5">
        <f>ROUND(SUMIF([1]开票!$A$2:$A$1750,[1]申请!AQ441,[1]开票!$C$2:$C$1750),2)</f>
        <v>0</v>
      </c>
      <c r="G441" s="5">
        <f>ROUND(SUMIF([1]开票!$A$2:$A$1750,[1]申请!AQ441,[1]开票!$D$2:$D$1750),2)</f>
        <v>140616.58</v>
      </c>
      <c r="H441" s="5">
        <f>ROUND(SUMIF([1]开票!$A$2:$A$1750,[1]申请!AQ441,[1]开票!$E$2:$E$1750),2)</f>
        <v>0</v>
      </c>
      <c r="I441" s="5">
        <f t="shared" si="96"/>
        <v>140616.58</v>
      </c>
      <c r="J441" s="12"/>
      <c r="K441" s="12"/>
      <c r="L441" s="12"/>
      <c r="M441" s="12"/>
      <c r="N441" s="15"/>
      <c r="O441" s="12"/>
      <c r="P441" s="12"/>
      <c r="Q441" s="12"/>
      <c r="R441" s="12"/>
      <c r="S441" s="15">
        <v>138148.43</v>
      </c>
      <c r="T441" s="15">
        <v>2468.15</v>
      </c>
      <c r="U441" s="12"/>
      <c r="V441" s="12"/>
      <c r="W441" s="12"/>
      <c r="X441" s="12"/>
      <c r="Y441" s="12"/>
      <c r="Z441" s="12"/>
      <c r="AA441" s="12"/>
      <c r="AB441" s="12"/>
      <c r="AC441" s="12"/>
      <c r="AD441" s="12">
        <f t="shared" si="97"/>
        <v>140616.58</v>
      </c>
      <c r="AE441" s="13">
        <f t="shared" si="98"/>
        <v>0</v>
      </c>
      <c r="AF441" s="14">
        <f t="shared" si="99"/>
        <v>0</v>
      </c>
      <c r="AG441" s="13">
        <f t="shared" si="100"/>
        <v>0</v>
      </c>
      <c r="AH441" s="13">
        <f t="shared" si="101"/>
        <v>0</v>
      </c>
      <c r="AI441" s="13">
        <f t="shared" si="102"/>
        <v>0</v>
      </c>
      <c r="AJ441" s="13">
        <f t="shared" si="103"/>
        <v>0</v>
      </c>
      <c r="AK441" s="13">
        <f t="shared" si="104"/>
        <v>0</v>
      </c>
      <c r="AL441" s="13">
        <f t="shared" si="105"/>
        <v>0</v>
      </c>
      <c r="AM441" s="13">
        <f t="shared" si="106"/>
        <v>0</v>
      </c>
      <c r="AN441" s="13">
        <f t="shared" si="107"/>
        <v>0</v>
      </c>
      <c r="AO441" s="13">
        <f t="shared" si="108"/>
        <v>0</v>
      </c>
      <c r="AP441" s="13">
        <f t="shared" si="109"/>
        <v>0</v>
      </c>
      <c r="AQ441" s="13" t="str">
        <f t="shared" si="110"/>
        <v>TJ202511281348000480727</v>
      </c>
      <c r="AR441" s="13">
        <f t="shared" si="112"/>
        <v>0.05</v>
      </c>
    </row>
    <row r="442" spans="1:44">
      <c r="A442" s="29" t="s">
        <v>702</v>
      </c>
      <c r="B442" s="17" t="s">
        <v>703</v>
      </c>
      <c r="C442" s="17" t="s">
        <v>46</v>
      </c>
      <c r="D442" s="17" t="s">
        <v>47</v>
      </c>
      <c r="E442" s="17" t="s">
        <v>51</v>
      </c>
      <c r="F442" s="5">
        <f>ROUND(SUMIF([1]开票!$A$2:$A$1750,[1]申请!AQ442,[1]开票!$C$2:$C$1750),2)</f>
        <v>14578.3</v>
      </c>
      <c r="G442" s="5">
        <f>ROUND(SUMIF([1]开票!$A$2:$A$1750,[1]申请!AQ442,[1]开票!$D$2:$D$1750),2)</f>
        <v>0</v>
      </c>
      <c r="H442" s="5">
        <f>ROUND(SUMIF([1]开票!$A$2:$A$1750,[1]申请!AQ442,[1]开票!$E$2:$E$1750),2)</f>
        <v>874.7</v>
      </c>
      <c r="I442" s="5">
        <f t="shared" si="96"/>
        <v>15453</v>
      </c>
      <c r="J442" s="12"/>
      <c r="K442" s="12"/>
      <c r="L442" s="12"/>
      <c r="M442" s="12"/>
      <c r="N442" s="15">
        <v>15453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>
        <f t="shared" si="97"/>
        <v>15453</v>
      </c>
      <c r="AE442" s="13">
        <f t="shared" si="98"/>
        <v>0</v>
      </c>
      <c r="AF442" s="14">
        <f t="shared" si="99"/>
        <v>0</v>
      </c>
      <c r="AG442" s="13">
        <f t="shared" si="100"/>
        <v>874.7</v>
      </c>
      <c r="AH442" s="13">
        <f t="shared" si="101"/>
        <v>61.23</v>
      </c>
      <c r="AI442" s="13">
        <f t="shared" si="102"/>
        <v>26.24</v>
      </c>
      <c r="AJ442" s="13">
        <f t="shared" si="103"/>
        <v>17.49</v>
      </c>
      <c r="AK442" s="13">
        <f t="shared" si="104"/>
        <v>0</v>
      </c>
      <c r="AL442" s="13">
        <f t="shared" si="105"/>
        <v>0</v>
      </c>
      <c r="AM442" s="13">
        <f t="shared" si="106"/>
        <v>874.7</v>
      </c>
      <c r="AN442" s="13">
        <f t="shared" si="107"/>
        <v>61.23</v>
      </c>
      <c r="AO442" s="13">
        <f t="shared" si="108"/>
        <v>26.24</v>
      </c>
      <c r="AP442" s="13">
        <f t="shared" si="109"/>
        <v>17.49</v>
      </c>
      <c r="AQ442" s="13" t="str">
        <f t="shared" si="110"/>
        <v>TJ202511291805000182841</v>
      </c>
      <c r="AR442" s="13">
        <f t="shared" si="112"/>
        <v>0.06</v>
      </c>
    </row>
    <row r="443" spans="1:44">
      <c r="A443" s="29" t="s">
        <v>704</v>
      </c>
      <c r="B443" s="17" t="s">
        <v>705</v>
      </c>
      <c r="C443" s="17" t="s">
        <v>46</v>
      </c>
      <c r="D443" s="17" t="s">
        <v>47</v>
      </c>
      <c r="E443" s="17" t="s">
        <v>48</v>
      </c>
      <c r="F443" s="5">
        <f>ROUND(SUMIF([1]开票!$A$2:$A$1750,[1]申请!AQ443,[1]开票!$C$2:$C$1750),2)</f>
        <v>60.95</v>
      </c>
      <c r="G443" s="5">
        <f>ROUND(SUMIF([1]开票!$A$2:$A$1750,[1]申请!AQ443,[1]开票!$D$2:$D$1750),2)</f>
        <v>253314.69</v>
      </c>
      <c r="H443" s="5">
        <f>ROUND(SUMIF([1]开票!$A$2:$A$1750,[1]申请!AQ443,[1]开票!$E$2:$E$1750),2)</f>
        <v>3.05</v>
      </c>
      <c r="I443" s="5">
        <f t="shared" si="96"/>
        <v>253378.69</v>
      </c>
      <c r="J443" s="12"/>
      <c r="K443" s="15">
        <v>64</v>
      </c>
      <c r="L443" s="15"/>
      <c r="M443" s="12"/>
      <c r="N443" s="12"/>
      <c r="O443" s="12"/>
      <c r="P443" s="12"/>
      <c r="Q443" s="12"/>
      <c r="R443" s="12"/>
      <c r="S443" s="15">
        <v>247035.13</v>
      </c>
      <c r="T443" s="15">
        <v>6279.56</v>
      </c>
      <c r="U443" s="12"/>
      <c r="V443" s="12"/>
      <c r="W443" s="12"/>
      <c r="X443" s="12"/>
      <c r="Y443" s="12"/>
      <c r="Z443" s="12"/>
      <c r="AA443" s="12"/>
      <c r="AB443" s="12"/>
      <c r="AC443" s="12"/>
      <c r="AD443" s="12">
        <f t="shared" si="97"/>
        <v>253378.69</v>
      </c>
      <c r="AE443" s="13">
        <f t="shared" si="98"/>
        <v>0</v>
      </c>
      <c r="AF443" s="14">
        <f t="shared" si="99"/>
        <v>0</v>
      </c>
      <c r="AG443" s="13">
        <f t="shared" si="100"/>
        <v>3.05</v>
      </c>
      <c r="AH443" s="13">
        <f t="shared" si="101"/>
        <v>0.21</v>
      </c>
      <c r="AI443" s="13">
        <f t="shared" si="102"/>
        <v>0.09</v>
      </c>
      <c r="AJ443" s="13">
        <f t="shared" si="103"/>
        <v>0.06</v>
      </c>
      <c r="AK443" s="13">
        <f t="shared" si="104"/>
        <v>0</v>
      </c>
      <c r="AL443" s="13">
        <f t="shared" si="105"/>
        <v>0</v>
      </c>
      <c r="AM443" s="13">
        <f t="shared" si="106"/>
        <v>3.05</v>
      </c>
      <c r="AN443" s="13">
        <f t="shared" si="107"/>
        <v>0.21</v>
      </c>
      <c r="AO443" s="13">
        <f t="shared" si="108"/>
        <v>0.09</v>
      </c>
      <c r="AP443" s="13">
        <f t="shared" si="109"/>
        <v>0.06</v>
      </c>
      <c r="AQ443" s="13" t="str">
        <f t="shared" si="110"/>
        <v>TJ202512020941000156097</v>
      </c>
      <c r="AR443" s="13">
        <f t="shared" si="112"/>
        <v>0.05</v>
      </c>
    </row>
    <row r="444" spans="1:44">
      <c r="A444" s="29" t="s">
        <v>706</v>
      </c>
      <c r="B444" s="17" t="s">
        <v>707</v>
      </c>
      <c r="C444" s="17" t="s">
        <v>46</v>
      </c>
      <c r="D444" s="17" t="s">
        <v>47</v>
      </c>
      <c r="E444" s="17" t="s">
        <v>48</v>
      </c>
      <c r="F444" s="5">
        <f>ROUND(SUMIF([1]开票!$A$2:$A$1750,[1]申请!AQ444,[1]开票!$C$2:$C$1750),2)</f>
        <v>80</v>
      </c>
      <c r="G444" s="5">
        <f>ROUND(SUMIF([1]开票!$A$2:$A$1750,[1]申请!AQ444,[1]开票!$D$2:$D$1750),2)</f>
        <v>48096.98</v>
      </c>
      <c r="H444" s="5">
        <f>ROUND(SUMIF([1]开票!$A$2:$A$1750,[1]申请!AQ444,[1]开票!$E$2:$E$1750),2)</f>
        <v>4</v>
      </c>
      <c r="I444" s="5">
        <f t="shared" si="96"/>
        <v>48180.98</v>
      </c>
      <c r="J444" s="12"/>
      <c r="K444" s="15">
        <v>84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5">
        <v>48096.98</v>
      </c>
      <c r="V444" s="12"/>
      <c r="W444" s="12"/>
      <c r="X444" s="12"/>
      <c r="Y444" s="12"/>
      <c r="Z444" s="12"/>
      <c r="AA444" s="12"/>
      <c r="AB444" s="12"/>
      <c r="AC444" s="12"/>
      <c r="AD444" s="12">
        <f t="shared" si="97"/>
        <v>48180.98</v>
      </c>
      <c r="AE444" s="13">
        <f t="shared" si="98"/>
        <v>0</v>
      </c>
      <c r="AF444" s="14">
        <f t="shared" si="99"/>
        <v>0</v>
      </c>
      <c r="AG444" s="13">
        <f t="shared" si="100"/>
        <v>4</v>
      </c>
      <c r="AH444" s="13">
        <f t="shared" si="101"/>
        <v>0.28</v>
      </c>
      <c r="AI444" s="13">
        <f t="shared" si="102"/>
        <v>0.12</v>
      </c>
      <c r="AJ444" s="13">
        <f t="shared" si="103"/>
        <v>0.08</v>
      </c>
      <c r="AK444" s="13">
        <f t="shared" si="104"/>
        <v>0</v>
      </c>
      <c r="AL444" s="13">
        <f t="shared" si="105"/>
        <v>0</v>
      </c>
      <c r="AM444" s="13">
        <f t="shared" si="106"/>
        <v>4</v>
      </c>
      <c r="AN444" s="13">
        <f t="shared" si="107"/>
        <v>0.28</v>
      </c>
      <c r="AO444" s="13">
        <f t="shared" si="108"/>
        <v>0.12</v>
      </c>
      <c r="AP444" s="13">
        <f t="shared" si="109"/>
        <v>0.08</v>
      </c>
      <c r="AQ444" s="13" t="str">
        <f t="shared" si="110"/>
        <v>TJ202512021642000007326</v>
      </c>
      <c r="AR444" s="13">
        <f t="shared" si="112"/>
        <v>0.05</v>
      </c>
    </row>
    <row r="445" spans="1:44">
      <c r="A445" s="29" t="s">
        <v>708</v>
      </c>
      <c r="B445" s="17" t="s">
        <v>709</v>
      </c>
      <c r="C445" s="17" t="s">
        <v>46</v>
      </c>
      <c r="D445" s="17" t="s">
        <v>47</v>
      </c>
      <c r="E445" s="17" t="s">
        <v>51</v>
      </c>
      <c r="F445" s="5">
        <f>ROUND(SUMIF([1]开票!$A$2:$A$1750,[1]申请!AQ445,[1]开票!$C$2:$C$1750),2)</f>
        <v>20484.42</v>
      </c>
      <c r="G445" s="5">
        <f>ROUND(SUMIF([1]开票!$A$2:$A$1750,[1]申请!AQ445,[1]开票!$D$2:$D$1750),2)</f>
        <v>0</v>
      </c>
      <c r="H445" s="5">
        <f>ROUND(SUMIF([1]开票!$A$2:$A$1750,[1]申请!AQ445,[1]开票!$E$2:$E$1750),2)</f>
        <v>1229.07</v>
      </c>
      <c r="I445" s="5">
        <f t="shared" si="96"/>
        <v>21713.49</v>
      </c>
      <c r="J445" s="12"/>
      <c r="K445" s="15">
        <v>1378.51</v>
      </c>
      <c r="L445" s="12"/>
      <c r="M445" s="12"/>
      <c r="N445" s="12"/>
      <c r="O445" s="12"/>
      <c r="P445" s="12"/>
      <c r="Q445" s="12"/>
      <c r="R445" s="12"/>
      <c r="S445" s="15">
        <v>20334.98</v>
      </c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>
        <f t="shared" si="97"/>
        <v>21713.49</v>
      </c>
      <c r="AE445" s="13">
        <f t="shared" si="98"/>
        <v>0</v>
      </c>
      <c r="AF445" s="14">
        <f t="shared" si="99"/>
        <v>0</v>
      </c>
      <c r="AG445" s="13">
        <f t="shared" si="100"/>
        <v>1229.07</v>
      </c>
      <c r="AH445" s="13">
        <f t="shared" si="101"/>
        <v>86.03</v>
      </c>
      <c r="AI445" s="13">
        <f t="shared" si="102"/>
        <v>36.87</v>
      </c>
      <c r="AJ445" s="13">
        <f t="shared" si="103"/>
        <v>24.58</v>
      </c>
      <c r="AK445" s="13">
        <f t="shared" si="104"/>
        <v>0</v>
      </c>
      <c r="AL445" s="13">
        <f t="shared" si="105"/>
        <v>0</v>
      </c>
      <c r="AM445" s="13">
        <f t="shared" si="106"/>
        <v>1229.07</v>
      </c>
      <c r="AN445" s="13">
        <f t="shared" si="107"/>
        <v>86.03</v>
      </c>
      <c r="AO445" s="13">
        <f t="shared" si="108"/>
        <v>36.87</v>
      </c>
      <c r="AP445" s="13">
        <f t="shared" si="109"/>
        <v>24.58</v>
      </c>
      <c r="AQ445" s="13" t="str">
        <f t="shared" si="110"/>
        <v>TJ202512031540000295587</v>
      </c>
      <c r="AR445" s="13">
        <f t="shared" si="112"/>
        <v>0.06</v>
      </c>
    </row>
    <row r="446" spans="1:44">
      <c r="A446" s="29" t="s">
        <v>710</v>
      </c>
      <c r="B446" s="17" t="s">
        <v>688</v>
      </c>
      <c r="C446" s="17" t="s">
        <v>46</v>
      </c>
      <c r="D446" s="17" t="s">
        <v>47</v>
      </c>
      <c r="E446" s="17" t="s">
        <v>48</v>
      </c>
      <c r="F446" s="5">
        <f>ROUND(SUMIF([1]开票!$A$2:$A$1750,[1]申请!AQ446,[1]开票!$C$2:$C$1750),2)</f>
        <v>8.57</v>
      </c>
      <c r="G446" s="5">
        <f>ROUND(SUMIF([1]开票!$A$2:$A$1750,[1]申请!AQ446,[1]开票!$D$2:$D$1750),2)</f>
        <v>5395.86</v>
      </c>
      <c r="H446" s="5">
        <f>ROUND(SUMIF([1]开票!$A$2:$A$1750,[1]申请!AQ446,[1]开票!$E$2:$E$1750),2)</f>
        <v>0.43</v>
      </c>
      <c r="I446" s="5">
        <f t="shared" si="96"/>
        <v>5404.86</v>
      </c>
      <c r="J446" s="12"/>
      <c r="K446" s="15">
        <v>9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5">
        <v>5395.86</v>
      </c>
      <c r="V446" s="12"/>
      <c r="W446" s="12"/>
      <c r="X446" s="12"/>
      <c r="Y446" s="12"/>
      <c r="Z446" s="12"/>
      <c r="AA446" s="12"/>
      <c r="AB446" s="12"/>
      <c r="AC446" s="12"/>
      <c r="AD446" s="12">
        <f t="shared" si="97"/>
        <v>5404.86</v>
      </c>
      <c r="AE446" s="13">
        <f t="shared" si="98"/>
        <v>0</v>
      </c>
      <c r="AF446" s="14">
        <f t="shared" si="99"/>
        <v>0</v>
      </c>
      <c r="AG446" s="13">
        <f t="shared" si="100"/>
        <v>0.43</v>
      </c>
      <c r="AH446" s="13">
        <f t="shared" si="101"/>
        <v>0.03</v>
      </c>
      <c r="AI446" s="13">
        <f t="shared" si="102"/>
        <v>0.01</v>
      </c>
      <c r="AJ446" s="13">
        <f t="shared" si="103"/>
        <v>0.01</v>
      </c>
      <c r="AK446" s="13">
        <f t="shared" si="104"/>
        <v>0</v>
      </c>
      <c r="AL446" s="13">
        <f t="shared" si="105"/>
        <v>0</v>
      </c>
      <c r="AM446" s="13">
        <f t="shared" si="106"/>
        <v>0.43</v>
      </c>
      <c r="AN446" s="13">
        <f t="shared" si="107"/>
        <v>0.03</v>
      </c>
      <c r="AO446" s="13">
        <f t="shared" si="108"/>
        <v>0.01</v>
      </c>
      <c r="AP446" s="13">
        <f t="shared" si="109"/>
        <v>0.01</v>
      </c>
      <c r="AQ446" s="13" t="str">
        <f t="shared" si="110"/>
        <v>TJ202512111413000447977</v>
      </c>
      <c r="AR446" s="13">
        <f t="shared" si="112"/>
        <v>0.05</v>
      </c>
    </row>
    <row r="447" spans="1:44">
      <c r="A447" s="29" t="s">
        <v>711</v>
      </c>
      <c r="B447" s="17" t="s">
        <v>712</v>
      </c>
      <c r="C447" s="17" t="s">
        <v>46</v>
      </c>
      <c r="D447" s="17" t="s">
        <v>47</v>
      </c>
      <c r="E447" s="17" t="s">
        <v>48</v>
      </c>
      <c r="F447" s="5">
        <f>ROUND(SUMIF([1]开票!$A$2:$A$1750,[1]申请!AQ447,[1]开票!$C$2:$C$1750),2)</f>
        <v>91.43</v>
      </c>
      <c r="G447" s="5">
        <f>ROUND(SUMIF([1]开票!$A$2:$A$1750,[1]申请!AQ447,[1]开票!$D$2:$D$1750),2)</f>
        <v>320159.29</v>
      </c>
      <c r="H447" s="5">
        <f>ROUND(SUMIF([1]开票!$A$2:$A$1750,[1]申请!AQ447,[1]开票!$E$2:$E$1750),2)</f>
        <v>4.57</v>
      </c>
      <c r="I447" s="5">
        <f t="shared" si="96"/>
        <v>320255.29</v>
      </c>
      <c r="J447" s="12"/>
      <c r="K447" s="15">
        <v>96</v>
      </c>
      <c r="L447" s="12"/>
      <c r="M447" s="12"/>
      <c r="N447" s="12"/>
      <c r="O447" s="12"/>
      <c r="P447" s="12"/>
      <c r="Q447" s="12"/>
      <c r="R447" s="12"/>
      <c r="S447" s="15">
        <v>317806.79</v>
      </c>
      <c r="T447" s="15">
        <v>2352.5</v>
      </c>
      <c r="U447" s="12"/>
      <c r="V447" s="12"/>
      <c r="W447" s="12"/>
      <c r="X447" s="12"/>
      <c r="Y447" s="12"/>
      <c r="Z447" s="12"/>
      <c r="AA447" s="12"/>
      <c r="AB447" s="12"/>
      <c r="AC447" s="12"/>
      <c r="AD447" s="12">
        <f t="shared" si="97"/>
        <v>320255.29</v>
      </c>
      <c r="AE447" s="13">
        <f t="shared" si="98"/>
        <v>0</v>
      </c>
      <c r="AF447" s="14">
        <f t="shared" si="99"/>
        <v>0</v>
      </c>
      <c r="AG447" s="13">
        <f t="shared" si="100"/>
        <v>4.57</v>
      </c>
      <c r="AH447" s="13">
        <f t="shared" si="101"/>
        <v>0.32</v>
      </c>
      <c r="AI447" s="13">
        <f t="shared" si="102"/>
        <v>0.14</v>
      </c>
      <c r="AJ447" s="13">
        <f t="shared" si="103"/>
        <v>0.09</v>
      </c>
      <c r="AK447" s="13">
        <f t="shared" si="104"/>
        <v>0</v>
      </c>
      <c r="AL447" s="13">
        <f t="shared" si="105"/>
        <v>0</v>
      </c>
      <c r="AM447" s="13">
        <f t="shared" si="106"/>
        <v>4.57</v>
      </c>
      <c r="AN447" s="13">
        <f t="shared" si="107"/>
        <v>0.32</v>
      </c>
      <c r="AO447" s="13">
        <f t="shared" si="108"/>
        <v>0.14</v>
      </c>
      <c r="AP447" s="13">
        <f t="shared" si="109"/>
        <v>0.09</v>
      </c>
      <c r="AQ447" s="13" t="str">
        <f t="shared" si="110"/>
        <v>TJ202512141751000346281</v>
      </c>
      <c r="AR447" s="13">
        <f t="shared" si="112"/>
        <v>0.05</v>
      </c>
    </row>
    <row r="448" ht="15" spans="1:44">
      <c r="A448" s="29" t="s">
        <v>713</v>
      </c>
      <c r="B448" s="17" t="s">
        <v>596</v>
      </c>
      <c r="C448" s="17" t="s">
        <v>46</v>
      </c>
      <c r="D448" s="17" t="s">
        <v>47</v>
      </c>
      <c r="E448" s="17" t="s">
        <v>48</v>
      </c>
      <c r="F448" s="5">
        <f>ROUND(SUMIF([1]开票!$A$2:$A$1750,[1]申请!AQ448,[1]开票!$C$2:$C$1750),2)</f>
        <v>285.71</v>
      </c>
      <c r="G448" s="5">
        <f>ROUND(SUMIF([1]开票!$A$2:$A$1750,[1]申请!AQ448,[1]开票!$D$2:$D$1750),2)</f>
        <v>79959.97</v>
      </c>
      <c r="H448" s="5">
        <f>ROUND(SUMIF([1]开票!$A$2:$A$1750,[1]申请!AQ448,[1]开票!$E$2:$E$1750),2)</f>
        <v>14.29</v>
      </c>
      <c r="I448" s="5">
        <f t="shared" si="96"/>
        <v>80259.97</v>
      </c>
      <c r="J448" s="12">
        <v>300</v>
      </c>
      <c r="K448" s="12"/>
      <c r="L448" s="12"/>
      <c r="M448" s="12"/>
      <c r="N448" s="12"/>
      <c r="O448" s="12"/>
      <c r="P448" s="12"/>
      <c r="Q448" s="12"/>
      <c r="R448" s="12"/>
      <c r="S448" s="20">
        <v>41619.13</v>
      </c>
      <c r="T448" s="20">
        <v>7139.79</v>
      </c>
      <c r="U448" s="20">
        <v>22017.3</v>
      </c>
      <c r="V448" s="12">
        <v>8295</v>
      </c>
      <c r="W448" s="12"/>
      <c r="X448" s="32">
        <v>888.75</v>
      </c>
      <c r="Y448" s="12"/>
      <c r="Z448" s="12"/>
      <c r="AA448" s="12"/>
      <c r="AB448" s="12"/>
      <c r="AC448" s="12"/>
      <c r="AD448" s="12">
        <f t="shared" si="97"/>
        <v>80259.97</v>
      </c>
      <c r="AE448" s="13">
        <f t="shared" si="98"/>
        <v>0</v>
      </c>
      <c r="AF448" s="14">
        <f t="shared" si="99"/>
        <v>0</v>
      </c>
      <c r="AG448" s="13">
        <f t="shared" si="100"/>
        <v>14.29</v>
      </c>
      <c r="AH448" s="13">
        <f t="shared" si="101"/>
        <v>1</v>
      </c>
      <c r="AI448" s="13">
        <f t="shared" si="102"/>
        <v>0.43</v>
      </c>
      <c r="AJ448" s="13">
        <f t="shared" si="103"/>
        <v>0.29</v>
      </c>
      <c r="AK448" s="13">
        <f t="shared" si="104"/>
        <v>0</v>
      </c>
      <c r="AL448" s="13">
        <f t="shared" si="105"/>
        <v>0</v>
      </c>
      <c r="AM448" s="13">
        <f t="shared" si="106"/>
        <v>14.29</v>
      </c>
      <c r="AN448" s="13">
        <f t="shared" si="107"/>
        <v>1</v>
      </c>
      <c r="AO448" s="13">
        <f t="shared" si="108"/>
        <v>0.43</v>
      </c>
      <c r="AP448" s="13">
        <f t="shared" si="109"/>
        <v>0.29</v>
      </c>
      <c r="AQ448" s="13" t="str">
        <f t="shared" si="110"/>
        <v>TJ202512151747000440254</v>
      </c>
      <c r="AR448" s="13">
        <f t="shared" si="112"/>
        <v>0.05</v>
      </c>
    </row>
    <row r="449" spans="1:44">
      <c r="A449" s="29" t="s">
        <v>714</v>
      </c>
      <c r="B449" s="17" t="s">
        <v>707</v>
      </c>
      <c r="C449" s="17" t="s">
        <v>46</v>
      </c>
      <c r="D449" s="17" t="s">
        <v>47</v>
      </c>
      <c r="E449" s="17" t="s">
        <v>48</v>
      </c>
      <c r="F449" s="5">
        <f>ROUND(SUMIF([1]开票!$A$2:$A$1750,[1]申请!AQ449,[1]开票!$C$2:$C$1750),2)</f>
        <v>108.57</v>
      </c>
      <c r="G449" s="5">
        <f>ROUND(SUMIF([1]开票!$A$2:$A$1750,[1]申请!AQ449,[1]开票!$D$2:$D$1750),2)</f>
        <v>588988.78</v>
      </c>
      <c r="H449" s="5">
        <f>ROUND(SUMIF([1]开票!$A$2:$A$1750,[1]申请!AQ449,[1]开票!$E$2:$E$1750),2)</f>
        <v>5.43</v>
      </c>
      <c r="I449" s="5">
        <f t="shared" si="96"/>
        <v>589102.78</v>
      </c>
      <c r="J449" s="12"/>
      <c r="K449" s="15">
        <v>114</v>
      </c>
      <c r="L449" s="12"/>
      <c r="M449" s="12"/>
      <c r="N449" s="12"/>
      <c r="O449" s="12"/>
      <c r="P449" s="12"/>
      <c r="Q449" s="12"/>
      <c r="R449" s="12"/>
      <c r="S449" s="15">
        <v>547337.71</v>
      </c>
      <c r="T449" s="15">
        <v>41651.07</v>
      </c>
      <c r="U449" s="12"/>
      <c r="V449" s="12"/>
      <c r="W449" s="12"/>
      <c r="X449" s="12"/>
      <c r="Y449" s="12"/>
      <c r="Z449" s="12"/>
      <c r="AA449" s="12"/>
      <c r="AB449" s="12"/>
      <c r="AC449" s="12"/>
      <c r="AD449" s="12">
        <f t="shared" si="97"/>
        <v>589102.78</v>
      </c>
      <c r="AE449" s="13">
        <f t="shared" si="98"/>
        <v>0</v>
      </c>
      <c r="AF449" s="14">
        <f t="shared" si="99"/>
        <v>0</v>
      </c>
      <c r="AG449" s="13">
        <f t="shared" si="100"/>
        <v>5.43</v>
      </c>
      <c r="AH449" s="13">
        <f t="shared" si="101"/>
        <v>0.38</v>
      </c>
      <c r="AI449" s="13">
        <f t="shared" si="102"/>
        <v>0.16</v>
      </c>
      <c r="AJ449" s="13">
        <f t="shared" si="103"/>
        <v>0.11</v>
      </c>
      <c r="AK449" s="13">
        <f t="shared" si="104"/>
        <v>0</v>
      </c>
      <c r="AL449" s="13">
        <f t="shared" si="105"/>
        <v>0</v>
      </c>
      <c r="AM449" s="13">
        <f t="shared" si="106"/>
        <v>5.43</v>
      </c>
      <c r="AN449" s="13">
        <f t="shared" si="107"/>
        <v>0.38</v>
      </c>
      <c r="AO449" s="13">
        <f t="shared" si="108"/>
        <v>0.16</v>
      </c>
      <c r="AP449" s="13">
        <f t="shared" si="109"/>
        <v>0.11</v>
      </c>
      <c r="AQ449" s="13" t="str">
        <f t="shared" si="110"/>
        <v>TJ202512181248000295642</v>
      </c>
      <c r="AR449" s="13">
        <f t="shared" si="112"/>
        <v>0.05</v>
      </c>
    </row>
    <row r="450" spans="1:44">
      <c r="A450" s="29" t="s">
        <v>715</v>
      </c>
      <c r="B450" s="17" t="s">
        <v>716</v>
      </c>
      <c r="C450" s="17" t="s">
        <v>46</v>
      </c>
      <c r="D450" s="17" t="s">
        <v>47</v>
      </c>
      <c r="E450" s="17" t="s">
        <v>48</v>
      </c>
      <c r="F450" s="5">
        <f>ROUND(SUMIF([1]开票!$A$2:$A$1750,[1]申请!AQ450,[1]开票!$C$2:$C$1750),2)</f>
        <v>53.33</v>
      </c>
      <c r="G450" s="5">
        <f>ROUND(SUMIF([1]开票!$A$2:$A$1750,[1]申请!AQ450,[1]开票!$D$2:$D$1750),2)</f>
        <v>210945.9</v>
      </c>
      <c r="H450" s="5">
        <f>ROUND(SUMIF([1]开票!$A$2:$A$1750,[1]申请!AQ450,[1]开票!$E$2:$E$1750),2)</f>
        <v>2.67</v>
      </c>
      <c r="I450" s="5">
        <f t="shared" ref="I450:I454" si="113">SUM(F450:H450)</f>
        <v>211001.9</v>
      </c>
      <c r="J450" s="12"/>
      <c r="K450" s="15">
        <v>56</v>
      </c>
      <c r="L450" s="12"/>
      <c r="M450" s="12"/>
      <c r="N450" s="12"/>
      <c r="O450" s="12"/>
      <c r="P450" s="12"/>
      <c r="Q450" s="12"/>
      <c r="R450" s="12"/>
      <c r="S450" s="15">
        <v>208829.94</v>
      </c>
      <c r="T450" s="15">
        <v>2115.96</v>
      </c>
      <c r="U450" s="12"/>
      <c r="V450" s="12"/>
      <c r="W450" s="12"/>
      <c r="X450" s="12"/>
      <c r="Y450" s="12"/>
      <c r="Z450" s="12"/>
      <c r="AA450" s="12"/>
      <c r="AB450" s="12"/>
      <c r="AC450" s="12"/>
      <c r="AD450" s="12">
        <f t="shared" ref="AD450:AD454" si="114">SUM(J450:AC450)</f>
        <v>211001.9</v>
      </c>
      <c r="AE450" s="13">
        <f t="shared" ref="AE450:AE454" si="115">AD450-SUM(J450:AC450)</f>
        <v>0</v>
      </c>
      <c r="AF450" s="14">
        <f t="shared" ref="AF450:AF454" si="116">AD450-I450</f>
        <v>0</v>
      </c>
      <c r="AG450" s="13">
        <f t="shared" ref="AG450:AG454" si="117">ROUND(H450,2)</f>
        <v>2.67</v>
      </c>
      <c r="AH450" s="13">
        <f t="shared" ref="AH450:AH454" si="118">ROUND(AG450*0.07,2)</f>
        <v>0.19</v>
      </c>
      <c r="AI450" s="13">
        <f t="shared" ref="AI450:AI454" si="119">ROUND(AG450*0.03,2)</f>
        <v>0.08</v>
      </c>
      <c r="AJ450" s="13">
        <f t="shared" ref="AJ450:AJ454" si="120">ROUND(AG450*0.02,2)</f>
        <v>0.05</v>
      </c>
      <c r="AK450" s="13">
        <f t="shared" ref="AK450:AK454" si="121">IF(AR450,Y450/(AR450*1.12)*AR450,0)</f>
        <v>0</v>
      </c>
      <c r="AL450" s="13">
        <f t="shared" ref="AL450:AL454" si="122">ROUND(Y450-AK450,2)</f>
        <v>0</v>
      </c>
      <c r="AM450" s="13">
        <f t="shared" ref="AM450:AM454" si="123">ROUND(AG450-AK450,2)</f>
        <v>2.67</v>
      </c>
      <c r="AN450" s="13">
        <f t="shared" ref="AN450:AN454" si="124">ROUND(AM450*0.07,2)</f>
        <v>0.19</v>
      </c>
      <c r="AO450" s="13">
        <f t="shared" ref="AO450:AO454" si="125">ROUND(AM450*0.03,2)</f>
        <v>0.08</v>
      </c>
      <c r="AP450" s="13">
        <f t="shared" ref="AP450:AP454" si="126">ROUND(AH450+AI450+AJ450-AL450-AN450-AO450,2)</f>
        <v>0.05</v>
      </c>
      <c r="AQ450" s="13" t="str">
        <f t="shared" ref="AQ450:AQ454" si="127">"TJ"&amp;A450</f>
        <v>TJ202512181259000117111</v>
      </c>
      <c r="AR450" s="13">
        <f t="shared" si="112"/>
        <v>0.05</v>
      </c>
    </row>
    <row r="451" spans="1:44">
      <c r="A451" s="29" t="s">
        <v>717</v>
      </c>
      <c r="B451" s="17" t="s">
        <v>716</v>
      </c>
      <c r="C451" s="17" t="s">
        <v>46</v>
      </c>
      <c r="D451" s="17" t="s">
        <v>47</v>
      </c>
      <c r="E451" s="17" t="s">
        <v>48</v>
      </c>
      <c r="F451" s="5">
        <f>ROUND(SUMIF([1]开票!$A$2:$A$1750,[1]申请!AQ451,[1]开票!$C$2:$C$1750),2)</f>
        <v>0</v>
      </c>
      <c r="G451" s="5">
        <f>ROUND(SUMIF([1]开票!$A$2:$A$1750,[1]申请!AQ451,[1]开票!$D$2:$D$1750),2)</f>
        <v>229.89</v>
      </c>
      <c r="H451" s="5">
        <f>ROUND(SUMIF([1]开票!$A$2:$A$1750,[1]申请!AQ451,[1]开票!$E$2:$E$1750),2)</f>
        <v>0</v>
      </c>
      <c r="I451" s="5">
        <f t="shared" si="113"/>
        <v>229.89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5">
        <v>229.89</v>
      </c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>
        <f t="shared" si="114"/>
        <v>229.89</v>
      </c>
      <c r="AE451" s="13">
        <f t="shared" si="115"/>
        <v>0</v>
      </c>
      <c r="AF451" s="14">
        <f t="shared" si="116"/>
        <v>0</v>
      </c>
      <c r="AG451" s="13">
        <f t="shared" si="117"/>
        <v>0</v>
      </c>
      <c r="AH451" s="13">
        <f t="shared" si="118"/>
        <v>0</v>
      </c>
      <c r="AI451" s="13">
        <f t="shared" si="119"/>
        <v>0</v>
      </c>
      <c r="AJ451" s="13">
        <f t="shared" si="120"/>
        <v>0</v>
      </c>
      <c r="AK451" s="13">
        <f t="shared" si="121"/>
        <v>0</v>
      </c>
      <c r="AL451" s="13">
        <f t="shared" si="122"/>
        <v>0</v>
      </c>
      <c r="AM451" s="13">
        <f t="shared" si="123"/>
        <v>0</v>
      </c>
      <c r="AN451" s="13">
        <f t="shared" si="124"/>
        <v>0</v>
      </c>
      <c r="AO451" s="13">
        <f t="shared" si="125"/>
        <v>0</v>
      </c>
      <c r="AP451" s="13">
        <f t="shared" si="126"/>
        <v>0</v>
      </c>
      <c r="AQ451" s="13" t="str">
        <f t="shared" si="127"/>
        <v>TJ202512191825000019578</v>
      </c>
      <c r="AR451" s="13">
        <f t="shared" si="112"/>
        <v>0.05</v>
      </c>
    </row>
    <row r="452" spans="1:44">
      <c r="A452" s="29" t="s">
        <v>718</v>
      </c>
      <c r="B452" s="17" t="s">
        <v>719</v>
      </c>
      <c r="C452" s="17" t="s">
        <v>46</v>
      </c>
      <c r="D452" s="17" t="s">
        <v>47</v>
      </c>
      <c r="E452" s="17" t="s">
        <v>51</v>
      </c>
      <c r="F452" s="5">
        <f>ROUND(SUMIF([1]开票!$A$2:$A$1750,[1]申请!AQ452,[1]开票!$C$2:$C$1750),2)</f>
        <v>30901.75</v>
      </c>
      <c r="G452" s="5">
        <f>ROUND(SUMIF([1]开票!$A$2:$A$1750,[1]申请!AQ452,[1]开票!$D$2:$D$1750),2)</f>
        <v>0</v>
      </c>
      <c r="H452" s="5">
        <f>ROUND(SUMIF([1]开票!$A$2:$A$1750,[1]申请!AQ452,[1]开票!$E$2:$E$1750),2)</f>
        <v>1854.1</v>
      </c>
      <c r="I452" s="5">
        <f t="shared" si="113"/>
        <v>32755.85</v>
      </c>
      <c r="J452" s="12"/>
      <c r="K452" s="15">
        <v>1530.07</v>
      </c>
      <c r="L452" s="12"/>
      <c r="M452" s="12"/>
      <c r="N452" s="12"/>
      <c r="O452" s="12"/>
      <c r="P452" s="12"/>
      <c r="Q452" s="12"/>
      <c r="R452" s="12"/>
      <c r="S452" s="12"/>
      <c r="T452" s="15">
        <v>3.6</v>
      </c>
      <c r="U452" s="12"/>
      <c r="V452" s="12"/>
      <c r="W452" s="12"/>
      <c r="X452" s="12"/>
      <c r="Y452" s="12"/>
      <c r="Z452" s="15">
        <v>31222.18</v>
      </c>
      <c r="AA452" s="12"/>
      <c r="AB452" s="12"/>
      <c r="AC452" s="12"/>
      <c r="AD452" s="12">
        <f t="shared" si="114"/>
        <v>32755.85</v>
      </c>
      <c r="AE452" s="13">
        <f t="shared" si="115"/>
        <v>0</v>
      </c>
      <c r="AF452" s="14">
        <f t="shared" si="116"/>
        <v>0</v>
      </c>
      <c r="AG452" s="13">
        <f t="shared" si="117"/>
        <v>1854.1</v>
      </c>
      <c r="AH452" s="13">
        <f t="shared" si="118"/>
        <v>129.79</v>
      </c>
      <c r="AI452" s="13">
        <f t="shared" si="119"/>
        <v>55.62</v>
      </c>
      <c r="AJ452" s="13">
        <f t="shared" si="120"/>
        <v>37.08</v>
      </c>
      <c r="AK452" s="13">
        <f t="shared" si="121"/>
        <v>0</v>
      </c>
      <c r="AL452" s="13">
        <f t="shared" si="122"/>
        <v>0</v>
      </c>
      <c r="AM452" s="13">
        <f t="shared" si="123"/>
        <v>1854.1</v>
      </c>
      <c r="AN452" s="13">
        <f t="shared" si="124"/>
        <v>129.79</v>
      </c>
      <c r="AO452" s="13">
        <f t="shared" si="125"/>
        <v>55.62</v>
      </c>
      <c r="AP452" s="13">
        <f t="shared" si="126"/>
        <v>37.08</v>
      </c>
      <c r="AQ452" s="13" t="str">
        <f t="shared" si="127"/>
        <v>TJ202512251715000341813</v>
      </c>
      <c r="AR452" s="13">
        <f t="shared" si="112"/>
        <v>0.06</v>
      </c>
    </row>
    <row r="453" spans="1:44">
      <c r="A453" s="29" t="s">
        <v>720</v>
      </c>
      <c r="B453" s="17" t="s">
        <v>721</v>
      </c>
      <c r="C453" s="17" t="s">
        <v>46</v>
      </c>
      <c r="D453" s="17" t="s">
        <v>47</v>
      </c>
      <c r="E453" s="17" t="s">
        <v>51</v>
      </c>
      <c r="F453" s="5">
        <f>ROUND(SUMIF([1]开票!$A$2:$A$1750,[1]申请!AQ453,[1]开票!$C$2:$C$1750),2)</f>
        <v>352377.36</v>
      </c>
      <c r="G453" s="5">
        <f>ROUND(SUMIF([1]开票!$A$2:$A$1750,[1]申请!AQ453,[1]开票!$D$2:$D$1750),2)</f>
        <v>0</v>
      </c>
      <c r="H453" s="5">
        <f>ROUND(SUMIF([1]开票!$A$2:$A$1750,[1]申请!AQ453,[1]开票!$E$2:$E$1750),2)</f>
        <v>21142.64</v>
      </c>
      <c r="I453" s="5">
        <f t="shared" si="113"/>
        <v>373520</v>
      </c>
      <c r="J453" s="12"/>
      <c r="K453" s="12"/>
      <c r="L453" s="12"/>
      <c r="M453" s="12"/>
      <c r="N453" s="12"/>
      <c r="O453" s="12"/>
      <c r="P453" s="12"/>
      <c r="Q453" s="12"/>
      <c r="R453" s="15">
        <v>350000</v>
      </c>
      <c r="S453" s="12"/>
      <c r="T453" s="12"/>
      <c r="U453" s="12"/>
      <c r="V453" s="12"/>
      <c r="W453" s="12"/>
      <c r="X453" s="12"/>
      <c r="Y453" s="15">
        <v>23520</v>
      </c>
      <c r="Z453" s="12"/>
      <c r="AA453" s="12"/>
      <c r="AB453" s="12"/>
      <c r="AC453" s="12"/>
      <c r="AD453" s="12">
        <f t="shared" si="114"/>
        <v>373520</v>
      </c>
      <c r="AE453" s="13">
        <f t="shared" si="115"/>
        <v>0</v>
      </c>
      <c r="AF453" s="14">
        <f t="shared" si="116"/>
        <v>0</v>
      </c>
      <c r="AG453" s="13">
        <f t="shared" si="117"/>
        <v>21142.64</v>
      </c>
      <c r="AH453" s="13">
        <f t="shared" si="118"/>
        <v>1479.98</v>
      </c>
      <c r="AI453" s="13">
        <f t="shared" si="119"/>
        <v>634.28</v>
      </c>
      <c r="AJ453" s="13">
        <f t="shared" si="120"/>
        <v>422.85</v>
      </c>
      <c r="AK453" s="13">
        <f t="shared" si="121"/>
        <v>21000</v>
      </c>
      <c r="AL453" s="13">
        <f t="shared" si="122"/>
        <v>2520</v>
      </c>
      <c r="AM453" s="13">
        <f t="shared" si="123"/>
        <v>142.64</v>
      </c>
      <c r="AN453" s="13">
        <f t="shared" si="124"/>
        <v>9.98</v>
      </c>
      <c r="AO453" s="13">
        <f t="shared" si="125"/>
        <v>4.28</v>
      </c>
      <c r="AP453" s="13">
        <f t="shared" si="126"/>
        <v>2.85</v>
      </c>
      <c r="AQ453" s="13" t="str">
        <f t="shared" si="127"/>
        <v>TJ202512311846000008136</v>
      </c>
      <c r="AR453" s="13">
        <f t="shared" si="112"/>
        <v>0.06</v>
      </c>
    </row>
    <row r="454" spans="1:44">
      <c r="A454" s="29" t="s">
        <v>722</v>
      </c>
      <c r="B454" s="12" t="s">
        <v>76</v>
      </c>
      <c r="C454" s="12" t="s">
        <v>46</v>
      </c>
      <c r="D454" s="12" t="s">
        <v>47</v>
      </c>
      <c r="E454" s="12" t="s">
        <v>77</v>
      </c>
      <c r="F454" s="5">
        <f>ROUND(SUMIF([1]开票!$A$2:$A$1750,[1]申请!AQ454,[1]开票!$C$2:$C$1750),2)</f>
        <v>0</v>
      </c>
      <c r="G454" s="5">
        <f>ROUND(SUMIF([1]开票!$A$2:$A$1750,[1]申请!AQ454,[1]开票!$D$2:$D$1750),2)</f>
        <v>239913.88</v>
      </c>
      <c r="H454" s="5">
        <f>ROUND(SUMIF([1]开票!$A$2:$A$1750,[1]申请!AQ454,[1]开票!$E$2:$E$1750),2)</f>
        <v>0</v>
      </c>
      <c r="I454" s="5">
        <f t="shared" si="113"/>
        <v>239913.88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5">
        <v>239913.88</v>
      </c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>
        <f t="shared" si="114"/>
        <v>239913.88</v>
      </c>
      <c r="AE454" s="13">
        <f t="shared" si="115"/>
        <v>0</v>
      </c>
      <c r="AF454" s="14">
        <f t="shared" si="116"/>
        <v>0</v>
      </c>
      <c r="AG454" s="13">
        <f t="shared" si="117"/>
        <v>0</v>
      </c>
      <c r="AH454" s="13">
        <f t="shared" si="118"/>
        <v>0</v>
      </c>
      <c r="AI454" s="13">
        <f t="shared" si="119"/>
        <v>0</v>
      </c>
      <c r="AJ454" s="13">
        <f t="shared" si="120"/>
        <v>0</v>
      </c>
      <c r="AK454" s="13">
        <f t="shared" si="121"/>
        <v>0</v>
      </c>
      <c r="AL454" s="13">
        <f t="shared" si="122"/>
        <v>0</v>
      </c>
      <c r="AM454" s="13">
        <f t="shared" si="123"/>
        <v>0</v>
      </c>
      <c r="AN454" s="13">
        <f t="shared" si="124"/>
        <v>0</v>
      </c>
      <c r="AO454" s="13">
        <f t="shared" si="125"/>
        <v>0</v>
      </c>
      <c r="AP454" s="13">
        <f t="shared" si="126"/>
        <v>0</v>
      </c>
      <c r="AQ454" s="13" t="str">
        <f t="shared" si="127"/>
        <v>TJ202512020912000234377-1</v>
      </c>
      <c r="AR454" s="13">
        <f t="shared" si="112"/>
        <v>0.05</v>
      </c>
    </row>
    <row r="455" spans="1:44">
      <c r="A455" s="29"/>
      <c r="B455" s="17"/>
      <c r="C455" s="17"/>
      <c r="D455" s="17"/>
      <c r="E455" s="17"/>
      <c r="F455" s="5"/>
      <c r="G455" s="5"/>
      <c r="H455" s="5"/>
      <c r="I455" s="5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7"/>
      <c r="AF455" s="53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</row>
    <row r="456" spans="1:44">
      <c r="A456" s="29"/>
      <c r="B456" s="17"/>
      <c r="C456" s="17"/>
      <c r="D456" s="17"/>
      <c r="E456" s="17"/>
      <c r="F456" s="5"/>
      <c r="G456" s="5"/>
      <c r="H456" s="5">
        <f>SUM(H1:H455)</f>
        <v>7481832.22999999</v>
      </c>
      <c r="I456" s="5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44">
      <c r="A457" s="29"/>
      <c r="B457" s="17"/>
      <c r="C457" s="17"/>
      <c r="D457" s="17"/>
      <c r="E457" s="17"/>
      <c r="F457" s="5"/>
      <c r="G457" s="5"/>
      <c r="H457" s="5"/>
      <c r="I457" s="5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44">
      <c r="A458" s="29"/>
      <c r="B458" s="17"/>
      <c r="C458" s="17"/>
      <c r="D458" s="17"/>
      <c r="E458" s="17"/>
      <c r="F458" s="5"/>
      <c r="G458" s="5"/>
      <c r="H458" s="5"/>
      <c r="I458" s="5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44">
      <c r="A459" s="29"/>
      <c r="B459" s="17"/>
      <c r="C459" s="17"/>
      <c r="D459" s="17"/>
      <c r="E459" s="17"/>
      <c r="F459" s="5"/>
      <c r="G459" s="5"/>
      <c r="H459" s="5"/>
      <c r="I459" s="5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44">
      <c r="A460" s="29"/>
      <c r="B460" s="17"/>
      <c r="C460" s="17"/>
      <c r="D460" s="17"/>
      <c r="E460" s="17"/>
      <c r="F460" s="5"/>
      <c r="G460" s="5"/>
      <c r="H460" s="5"/>
      <c r="I460" s="5"/>
      <c r="J460" s="12"/>
      <c r="K460" s="12"/>
      <c r="L460" s="12"/>
      <c r="M460" s="12"/>
      <c r="N460" s="12"/>
      <c r="O460" s="12"/>
      <c r="P460" s="12"/>
      <c r="Q460" s="12"/>
      <c r="R460" s="12"/>
      <c r="S460" s="12" t="s">
        <v>723</v>
      </c>
      <c r="T460" s="12" t="s">
        <v>724</v>
      </c>
      <c r="U460" s="12" t="s">
        <v>725</v>
      </c>
      <c r="V460" s="12">
        <v>100000</v>
      </c>
      <c r="W460" s="12"/>
      <c r="X460" s="12"/>
    </row>
    <row r="461" spans="1:44">
      <c r="A461" s="29"/>
      <c r="B461" s="17"/>
      <c r="C461" s="17"/>
      <c r="D461" s="17"/>
      <c r="E461" s="17"/>
      <c r="F461" s="5"/>
      <c r="G461" s="5"/>
      <c r="H461" s="5"/>
      <c r="I461" s="5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44">
      <c r="A462" s="29"/>
      <c r="B462" s="17"/>
      <c r="C462" s="17"/>
      <c r="D462" s="17"/>
      <c r="E462" s="17"/>
      <c r="F462" s="5"/>
      <c r="G462" s="5"/>
      <c r="H462" s="5"/>
      <c r="I462" s="5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 t="s">
        <v>726</v>
      </c>
      <c r="U462" s="12" t="s">
        <v>727</v>
      </c>
      <c r="V462" s="12">
        <v>5000</v>
      </c>
      <c r="W462" s="12"/>
      <c r="X462" s="12"/>
    </row>
    <row r="463" spans="1:44">
      <c r="A463" s="29"/>
      <c r="B463" s="17"/>
      <c r="C463" s="17"/>
      <c r="D463" s="17"/>
      <c r="E463" s="17"/>
      <c r="F463" s="5"/>
      <c r="G463" s="5"/>
      <c r="H463" s="5"/>
      <c r="I463" s="5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18</v>
      </c>
      <c r="V463" s="12">
        <v>50000</v>
      </c>
      <c r="W463" s="12"/>
      <c r="X463" s="12"/>
    </row>
    <row r="464" spans="1:44">
      <c r="A464" s="29"/>
      <c r="B464" s="17"/>
      <c r="C464" s="17"/>
      <c r="D464" s="17"/>
      <c r="E464" s="17"/>
      <c r="F464" s="5"/>
      <c r="G464" s="5"/>
      <c r="H464" s="5"/>
      <c r="I464" s="5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19</v>
      </c>
      <c r="V464" s="12">
        <v>5000</v>
      </c>
      <c r="W464" s="12"/>
      <c r="X464" s="12"/>
    </row>
    <row r="465" spans="1:24">
      <c r="A465" s="29"/>
      <c r="B465" s="17"/>
      <c r="C465" s="17"/>
      <c r="D465" s="17"/>
      <c r="E465" s="17"/>
      <c r="F465" s="5"/>
      <c r="G465" s="5"/>
      <c r="H465" s="5"/>
      <c r="I465" s="5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20</v>
      </c>
      <c r="V465" s="12">
        <v>10000</v>
      </c>
      <c r="W465" s="12"/>
      <c r="X465" s="12"/>
    </row>
    <row r="466" spans="1:24">
      <c r="A466" s="29"/>
      <c r="B466" s="17"/>
      <c r="C466" s="17"/>
      <c r="D466" s="17"/>
      <c r="E466" s="17"/>
      <c r="F466" s="5"/>
      <c r="G466" s="5"/>
      <c r="H466" s="5"/>
      <c r="I466" s="5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21</v>
      </c>
      <c r="V466" s="12">
        <v>10000</v>
      </c>
      <c r="W466" s="12"/>
      <c r="X466" s="12"/>
    </row>
    <row r="467" spans="1:24">
      <c r="A467" s="29"/>
      <c r="B467" s="17"/>
      <c r="C467" s="17"/>
      <c r="D467" s="17"/>
      <c r="E467" s="17"/>
      <c r="F467" s="5"/>
      <c r="G467" s="5"/>
      <c r="H467" s="5"/>
      <c r="I467" s="5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23</v>
      </c>
      <c r="V467" s="12">
        <v>5000</v>
      </c>
      <c r="W467" s="12"/>
      <c r="X467" s="12"/>
    </row>
    <row r="468" spans="1:24">
      <c r="A468" s="29"/>
      <c r="B468" s="17"/>
      <c r="C468" s="17"/>
      <c r="D468" s="17"/>
      <c r="E468" s="17"/>
      <c r="F468" s="5"/>
      <c r="G468" s="5"/>
      <c r="H468" s="5"/>
      <c r="I468" s="5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728</v>
      </c>
      <c r="V468" s="12">
        <v>15000</v>
      </c>
      <c r="W468" s="12"/>
      <c r="X468" s="12"/>
    </row>
    <row r="469" spans="1:24">
      <c r="A469" s="29"/>
      <c r="B469" s="17"/>
      <c r="C469" s="17"/>
      <c r="D469" s="17"/>
      <c r="E469" s="17"/>
      <c r="F469" s="5"/>
      <c r="G469" s="5"/>
      <c r="H469" s="5"/>
      <c r="I469" s="5"/>
      <c r="J469" s="12"/>
      <c r="K469" s="12"/>
      <c r="L469" s="12"/>
      <c r="M469" s="12"/>
      <c r="N469" s="12"/>
      <c r="O469" s="12"/>
      <c r="P469" s="12"/>
      <c r="Q469" s="12"/>
      <c r="R469" s="12"/>
      <c r="S469" s="12" t="s">
        <v>729</v>
      </c>
      <c r="T469" s="12"/>
      <c r="U469" s="12"/>
      <c r="V469" s="12"/>
      <c r="W469" s="12"/>
      <c r="X469" s="12"/>
    </row>
    <row r="470" spans="1:24">
      <c r="A470" s="29"/>
      <c r="B470" s="17"/>
      <c r="C470" s="17"/>
      <c r="D470" s="17"/>
      <c r="E470" s="17"/>
      <c r="F470" s="5"/>
      <c r="G470" s="5"/>
      <c r="H470" s="5"/>
      <c r="I470" s="5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 t="s">
        <v>724</v>
      </c>
      <c r="U470" s="12" t="s">
        <v>730</v>
      </c>
      <c r="V470" s="12">
        <v>100000</v>
      </c>
      <c r="W470" s="12"/>
      <c r="X470" s="12"/>
    </row>
    <row r="471" spans="1:24">
      <c r="A471" s="29"/>
      <c r="B471" s="17"/>
      <c r="C471" s="17"/>
      <c r="D471" s="17"/>
      <c r="E471" s="17"/>
      <c r="F471" s="5"/>
      <c r="G471" s="5"/>
      <c r="H471" s="5"/>
      <c r="I471" s="5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 t="s">
        <v>726</v>
      </c>
      <c r="U471" s="12" t="s">
        <v>725</v>
      </c>
      <c r="V471" s="12">
        <v>100000</v>
      </c>
      <c r="W471" s="12"/>
      <c r="X471" s="12"/>
    </row>
    <row r="472" spans="1:24">
      <c r="A472" s="29"/>
      <c r="B472" s="17"/>
      <c r="C472" s="17"/>
      <c r="D472" s="17"/>
      <c r="E472" s="17"/>
      <c r="F472" s="5"/>
      <c r="G472" s="5"/>
      <c r="H472" s="5"/>
      <c r="I472" s="5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>
      <c r="A473" s="29"/>
      <c r="B473" s="17"/>
      <c r="C473" s="17"/>
      <c r="D473" s="17"/>
      <c r="E473" s="17"/>
      <c r="F473" s="5"/>
      <c r="G473" s="5"/>
      <c r="H473" s="5"/>
      <c r="I473" s="5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>
      <c r="A474" s="29"/>
      <c r="B474" s="17"/>
      <c r="C474" s="17"/>
      <c r="D474" s="17"/>
      <c r="E474" s="17"/>
      <c r="F474" s="5"/>
      <c r="G474" s="5"/>
      <c r="H474" s="5"/>
      <c r="I474" s="5"/>
      <c r="J474" s="12"/>
      <c r="K474" s="12"/>
      <c r="L474" s="12"/>
      <c r="M474" s="12"/>
      <c r="N474" s="12"/>
      <c r="O474" s="12"/>
      <c r="P474" s="12"/>
      <c r="Q474" s="12"/>
      <c r="R474" s="12"/>
      <c r="S474" s="12" t="s">
        <v>731</v>
      </c>
      <c r="T474" s="12" t="s">
        <v>724</v>
      </c>
      <c r="U474" s="12" t="s">
        <v>18</v>
      </c>
      <c r="V474" s="12">
        <v>50000</v>
      </c>
      <c r="W474" s="12"/>
      <c r="X474" s="12"/>
    </row>
    <row r="475" spans="1:24">
      <c r="A475" s="29"/>
      <c r="B475" s="17"/>
      <c r="C475" s="17"/>
      <c r="D475" s="17"/>
      <c r="E475" s="17"/>
      <c r="F475" s="5"/>
      <c r="G475" s="5"/>
      <c r="H475" s="5"/>
      <c r="I475" s="5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19</v>
      </c>
      <c r="V475" s="12">
        <v>5000</v>
      </c>
      <c r="W475" s="12"/>
      <c r="X475" s="12"/>
    </row>
    <row r="476" spans="1:24">
      <c r="A476" s="29"/>
      <c r="B476" s="17"/>
      <c r="C476" s="17"/>
      <c r="D476" s="17"/>
      <c r="E476" s="17"/>
      <c r="F476" s="5"/>
      <c r="G476" s="5"/>
      <c r="H476" s="5"/>
      <c r="I476" s="5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 t="s">
        <v>726</v>
      </c>
      <c r="U476" s="12" t="s">
        <v>730</v>
      </c>
      <c r="V476" s="12">
        <f>V474</f>
        <v>50000</v>
      </c>
      <c r="W476" s="12"/>
      <c r="X476" s="12"/>
    </row>
    <row r="477" spans="1:24">
      <c r="A477" s="29"/>
      <c r="B477" s="17"/>
      <c r="C477" s="17"/>
      <c r="D477" s="17"/>
      <c r="E477" s="17"/>
      <c r="F477" s="5"/>
      <c r="G477" s="5"/>
      <c r="H477" s="5"/>
      <c r="I477" s="5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732</v>
      </c>
      <c r="V477" s="12">
        <v>5000</v>
      </c>
      <c r="W477" s="12"/>
      <c r="X477" s="12"/>
    </row>
    <row r="478" spans="1:24">
      <c r="A478" s="29"/>
      <c r="B478" s="17"/>
      <c r="C478" s="17"/>
      <c r="D478" s="17"/>
      <c r="E478" s="17"/>
      <c r="F478" s="5"/>
      <c r="G478" s="5"/>
      <c r="H478" s="5"/>
      <c r="I478" s="5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心揣梦想</cp:lastModifiedBy>
  <dcterms:created xsi:type="dcterms:W3CDTF">2023-05-12T11:15:00Z</dcterms:created>
  <dcterms:modified xsi:type="dcterms:W3CDTF">2026-04-28T07:10:32Z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AAFA451500DD4E7A97BD7F859B0A5F88_12</vt:lpwstr>
  </property>
  <property fmtid="{D5CDD505-2E9C-101B-9397-08002B2CF9AE}" pid="4" name="CalculationRule">
    <vt:i4>0</vt:i4>
  </property>
</Properties>
</file>